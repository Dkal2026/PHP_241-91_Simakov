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activeTab="3"/>
  </bookViews>
  <sheets>
    <sheet name="Лист1" sheetId="1" r:id="rId1"/>
    <sheet name="Лист2" sheetId="2" r:id="rId2"/>
    <sheet name="Расчёт цен" sheetId="3" r:id="rId3"/>
    <sheet name="Лист5" sheetId="5" r:id="rId4"/>
    <sheet name="Налог с продаж" sheetId="4" r:id="rId5"/>
  </sheets>
  <calcPr calcId="152511"/>
</workbook>
</file>

<file path=xl/calcChain.xml><?xml version="1.0" encoding="utf-8"?>
<calcChain xmlns="http://schemas.openxmlformats.org/spreadsheetml/2006/main">
  <c r="E6" i="3" l="1"/>
  <c r="D4" i="3"/>
  <c r="E4" i="3" s="1"/>
  <c r="D5" i="3"/>
  <c r="E5" i="3" s="1"/>
  <c r="D6" i="3"/>
  <c r="D7" i="3"/>
  <c r="E7" i="3" s="1"/>
  <c r="D3" i="3"/>
  <c r="E3" i="3" s="1"/>
  <c r="C11" i="2"/>
  <c r="D7" i="2" s="1"/>
  <c r="E8" i="3" l="1"/>
  <c r="D5" i="2"/>
  <c r="D9" i="2"/>
  <c r="D6" i="2"/>
  <c r="D8" i="2"/>
  <c r="D10" i="2"/>
  <c r="C12" i="1"/>
  <c r="D12" i="1"/>
  <c r="B12" i="1"/>
  <c r="E3" i="1"/>
  <c r="F3" i="1" s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2" i="1"/>
  <c r="F2" i="1" s="1"/>
</calcChain>
</file>

<file path=xl/sharedStrings.xml><?xml version="1.0" encoding="utf-8"?>
<sst xmlns="http://schemas.openxmlformats.org/spreadsheetml/2006/main" count="44" uniqueCount="41">
  <si>
    <t>Учащиеся</t>
  </si>
  <si>
    <t>Математика</t>
  </si>
  <si>
    <t>Русский</t>
  </si>
  <si>
    <t>Информатика</t>
  </si>
  <si>
    <t>Статус</t>
  </si>
  <si>
    <t>Студент1</t>
  </si>
  <si>
    <t>Студент2</t>
  </si>
  <si>
    <t>Студент3</t>
  </si>
  <si>
    <t>Студент4</t>
  </si>
  <si>
    <t>Студент5</t>
  </si>
  <si>
    <t>Студент6</t>
  </si>
  <si>
    <t>Студент7</t>
  </si>
  <si>
    <t>Студент8</t>
  </si>
  <si>
    <t>Студент9</t>
  </si>
  <si>
    <t>Студент10</t>
  </si>
  <si>
    <t>Средне Орифметическое</t>
  </si>
  <si>
    <t>Ср. знач. по предмету</t>
  </si>
  <si>
    <t>Фамилия вкладчика</t>
  </si>
  <si>
    <t>Доля общего вклада, %</t>
  </si>
  <si>
    <t>Сумма вклада, $ США</t>
  </si>
  <si>
    <t>Абрамов</t>
  </si>
  <si>
    <t>Михайлов</t>
  </si>
  <si>
    <t>Горелов</t>
  </si>
  <si>
    <t>Петров</t>
  </si>
  <si>
    <t>Абелян</t>
  </si>
  <si>
    <t>Лукашенко</t>
  </si>
  <si>
    <t>Итого:</t>
  </si>
  <si>
    <t>№п/п</t>
  </si>
  <si>
    <t>Индивидуальные вклады коммерческого банка</t>
  </si>
  <si>
    <t>Мебель для офиса</t>
  </si>
  <si>
    <t>Наименование товара</t>
  </si>
  <si>
    <t>Цена</t>
  </si>
  <si>
    <t>Налог с продаж</t>
  </si>
  <si>
    <t>Сумма</t>
  </si>
  <si>
    <t>дата</t>
  </si>
  <si>
    <t>время</t>
  </si>
  <si>
    <t>стол письменный</t>
  </si>
  <si>
    <t>стол компьютерный</t>
  </si>
  <si>
    <t>шкаф</t>
  </si>
  <si>
    <t>стул</t>
  </si>
  <si>
    <t>кресло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</si>
</sst>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4" formatCode="_-* #,##0.00\ &quot;₽&quot;_-;\-* #,##0.00\ &quot;₽&quot;_-;_-* &quot;-&quot;??\ &quot;₽&quot;_-;_-@_-"/>
    <numFmt numFmtId="164" formatCode="[$$-409]#,##0.00"/>
    <numFmt numFmtId="165" formatCode="#,##0.00\ &quot;₽&quot;"/>
    <numFmt numFmtId="171" formatCode="[$-F400]h:mm:ss\ AM/PM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sz val="10"/>
      <color theme="1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36">
    <xf numFmtId="0" fontId="0" fillId="0" borderId="0" xfId="0"/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0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164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10" fontId="0" fillId="0" borderId="5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0" xfId="0" applyBorder="1" applyAlignment="1">
      <alignment horizontal="right"/>
    </xf>
    <xf numFmtId="0" fontId="0" fillId="0" borderId="0" xfId="0" applyBorder="1" applyAlignment="1">
      <alignment horizontal="left" vertical="center"/>
    </xf>
    <xf numFmtId="164" fontId="0" fillId="0" borderId="0" xfId="1" applyNumberFormat="1" applyFont="1" applyBorder="1" applyAlignment="1">
      <alignment horizontal="right" vertical="center"/>
    </xf>
    <xf numFmtId="0" fontId="0" fillId="0" borderId="0" xfId="0" applyBorder="1" applyAlignment="1">
      <alignment horizontal="center" vertical="center"/>
    </xf>
    <xf numFmtId="164" fontId="0" fillId="0" borderId="0" xfId="1" applyNumberFormat="1" applyFont="1" applyBorder="1" applyAlignment="1">
      <alignment horizontal="center" vertical="center"/>
    </xf>
    <xf numFmtId="164" fontId="0" fillId="0" borderId="5" xfId="1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0" borderId="0" xfId="0" applyFont="1" applyBorder="1" applyAlignment="1">
      <alignment horizontal="left" vertical="center"/>
    </xf>
    <xf numFmtId="14" fontId="5" fillId="0" borderId="0" xfId="0" applyNumberFormat="1" applyFon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Border="1"/>
    <xf numFmtId="165" fontId="0" fillId="0" borderId="1" xfId="1" applyNumberFormat="1" applyFon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right"/>
    </xf>
    <xf numFmtId="0" fontId="0" fillId="0" borderId="2" xfId="0" applyBorder="1" applyAlignment="1">
      <alignment horizontal="left" vertical="center"/>
    </xf>
    <xf numFmtId="164" fontId="0" fillId="0" borderId="2" xfId="1" applyNumberFormat="1" applyFont="1" applyBorder="1" applyAlignment="1">
      <alignment horizontal="right" vertical="center"/>
    </xf>
    <xf numFmtId="165" fontId="0" fillId="0" borderId="6" xfId="0" applyNumberFormat="1" applyBorder="1" applyAlignment="1">
      <alignment horizontal="center" vertical="center"/>
    </xf>
    <xf numFmtId="10" fontId="0" fillId="0" borderId="3" xfId="0" applyNumberFormat="1" applyBorder="1" applyAlignment="1">
      <alignment horizontal="right" vertical="center"/>
    </xf>
    <xf numFmtId="165" fontId="0" fillId="2" borderId="3" xfId="0" applyNumberFormat="1" applyFill="1" applyBorder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</cellXfs>
  <cellStyles count="2">
    <cellStyle name="Денежный" xfId="1" builtinId="4"/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Среднее</a:t>
            </a:r>
            <a:r>
              <a:rPr lang="ru-RU" baseline="0"/>
              <a:t> значение по предметам</a:t>
            </a:r>
          </a:p>
          <a:p>
            <a:pPr>
              <a:defRPr/>
            </a:pP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Лист1!$B$1:$D$1</c:f>
              <c:strCache>
                <c:ptCount val="3"/>
                <c:pt idx="0">
                  <c:v>Математика</c:v>
                </c:pt>
                <c:pt idx="1">
                  <c:v>Русский</c:v>
                </c:pt>
                <c:pt idx="2">
                  <c:v>Информатика</c:v>
                </c:pt>
              </c:strCache>
            </c:strRef>
          </c:cat>
          <c:val>
            <c:numRef>
              <c:f>Лист1!$B$12:$D$12</c:f>
              <c:numCache>
                <c:formatCode>0.00</c:formatCode>
                <c:ptCount val="3"/>
                <c:pt idx="0">
                  <c:v>61</c:v>
                </c:pt>
                <c:pt idx="1">
                  <c:v>56</c:v>
                </c:pt>
                <c:pt idx="2">
                  <c:v>53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8283</xdr:colOff>
      <xdr:row>0</xdr:row>
      <xdr:rowOff>0</xdr:rowOff>
    </xdr:from>
    <xdr:to>
      <xdr:col>13</xdr:col>
      <xdr:colOff>289891</xdr:colOff>
      <xdr:row>11</xdr:row>
      <xdr:rowOff>78685</xdr:rowOff>
    </xdr:to>
    <xdr:graphicFrame macro="">
      <xdr:nvGraphicFramePr>
        <xdr:cNvPr id="8" name="Диаграмма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zoomScale="115" zoomScaleNormal="115" workbookViewId="0">
      <selection activeCell="M14" sqref="M14"/>
    </sheetView>
  </sheetViews>
  <sheetFormatPr defaultRowHeight="15" x14ac:dyDescent="0.25"/>
  <cols>
    <col min="1" max="1" width="23.140625" customWidth="1"/>
    <col min="2" max="2" width="13.28515625" customWidth="1"/>
    <col min="3" max="3" width="11.140625" customWidth="1"/>
    <col min="4" max="4" width="14.28515625" customWidth="1"/>
    <col min="5" max="5" width="16.5703125" customWidth="1"/>
    <col min="6" max="6" width="12" customWidth="1"/>
  </cols>
  <sheetData>
    <row r="1" spans="1:6" ht="31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3" t="s">
        <v>15</v>
      </c>
      <c r="F1" s="1" t="s">
        <v>4</v>
      </c>
    </row>
    <row r="2" spans="1:6" x14ac:dyDescent="0.25">
      <c r="A2" s="1" t="s">
        <v>5</v>
      </c>
      <c r="B2" s="1">
        <v>40</v>
      </c>
      <c r="C2" s="1">
        <v>70</v>
      </c>
      <c r="D2" s="1">
        <v>40</v>
      </c>
      <c r="E2" s="2">
        <f>AVERAGE(B2:D2)</f>
        <v>50</v>
      </c>
      <c r="F2" s="1" t="str">
        <f>IF(E2&gt;60,"проход","непроход")</f>
        <v>непроход</v>
      </c>
    </row>
    <row r="3" spans="1:6" x14ac:dyDescent="0.25">
      <c r="A3" s="1" t="s">
        <v>6</v>
      </c>
      <c r="B3" s="1">
        <v>60</v>
      </c>
      <c r="C3" s="1">
        <v>50</v>
      </c>
      <c r="D3" s="1">
        <v>60</v>
      </c>
      <c r="E3" s="2">
        <f t="shared" ref="E3:E11" si="0">AVERAGE(B3:D3)</f>
        <v>56.666666666666664</v>
      </c>
      <c r="F3" s="1" t="str">
        <f t="shared" ref="F3:F11" si="1">IF(E3&gt;60,"проход","непроход")</f>
        <v>непроход</v>
      </c>
    </row>
    <row r="4" spans="1:6" x14ac:dyDescent="0.25">
      <c r="A4" s="1" t="s">
        <v>7</v>
      </c>
      <c r="B4" s="1">
        <v>60</v>
      </c>
      <c r="C4" s="1">
        <v>70</v>
      </c>
      <c r="D4" s="1">
        <v>60</v>
      </c>
      <c r="E4" s="2">
        <f t="shared" si="0"/>
        <v>63.333333333333336</v>
      </c>
      <c r="F4" s="1" t="str">
        <f t="shared" si="1"/>
        <v>проход</v>
      </c>
    </row>
    <row r="5" spans="1:6" x14ac:dyDescent="0.25">
      <c r="A5" s="1" t="s">
        <v>8</v>
      </c>
      <c r="B5" s="1">
        <v>70</v>
      </c>
      <c r="C5" s="1">
        <v>60</v>
      </c>
      <c r="D5" s="1">
        <v>70</v>
      </c>
      <c r="E5" s="2">
        <f t="shared" si="0"/>
        <v>66.666666666666671</v>
      </c>
      <c r="F5" s="1" t="str">
        <f t="shared" si="1"/>
        <v>проход</v>
      </c>
    </row>
    <row r="6" spans="1:6" x14ac:dyDescent="0.25">
      <c r="A6" s="1" t="s">
        <v>9</v>
      </c>
      <c r="B6" s="1">
        <v>50</v>
      </c>
      <c r="C6" s="1">
        <v>40</v>
      </c>
      <c r="D6" s="1">
        <v>50</v>
      </c>
      <c r="E6" s="2">
        <f t="shared" si="0"/>
        <v>46.666666666666664</v>
      </c>
      <c r="F6" s="1" t="str">
        <f t="shared" si="1"/>
        <v>непроход</v>
      </c>
    </row>
    <row r="7" spans="1:6" x14ac:dyDescent="0.25">
      <c r="A7" s="1" t="s">
        <v>10</v>
      </c>
      <c r="B7" s="1">
        <v>50</v>
      </c>
      <c r="C7" s="1">
        <v>70</v>
      </c>
      <c r="D7" s="1">
        <v>30</v>
      </c>
      <c r="E7" s="2">
        <f t="shared" si="0"/>
        <v>50</v>
      </c>
      <c r="F7" s="1" t="str">
        <f t="shared" si="1"/>
        <v>непроход</v>
      </c>
    </row>
    <row r="8" spans="1:6" x14ac:dyDescent="0.25">
      <c r="A8" s="1" t="s">
        <v>11</v>
      </c>
      <c r="B8" s="1">
        <v>70</v>
      </c>
      <c r="C8" s="1">
        <v>70</v>
      </c>
      <c r="D8" s="1">
        <v>50</v>
      </c>
      <c r="E8" s="2">
        <f t="shared" si="0"/>
        <v>63.333333333333336</v>
      </c>
      <c r="F8" s="1" t="str">
        <f t="shared" si="1"/>
        <v>проход</v>
      </c>
    </row>
    <row r="9" spans="1:6" x14ac:dyDescent="0.25">
      <c r="A9" s="1" t="s">
        <v>12</v>
      </c>
      <c r="B9" s="1">
        <v>70</v>
      </c>
      <c r="C9" s="1">
        <v>60</v>
      </c>
      <c r="D9" s="1">
        <v>70</v>
      </c>
      <c r="E9" s="2">
        <f t="shared" si="0"/>
        <v>66.666666666666671</v>
      </c>
      <c r="F9" s="1" t="str">
        <f t="shared" si="1"/>
        <v>проход</v>
      </c>
    </row>
    <row r="10" spans="1:6" x14ac:dyDescent="0.25">
      <c r="A10" s="1" t="s">
        <v>13</v>
      </c>
      <c r="B10" s="1">
        <v>70</v>
      </c>
      <c r="C10" s="1">
        <v>30</v>
      </c>
      <c r="D10" s="1">
        <v>40</v>
      </c>
      <c r="E10" s="2">
        <f t="shared" si="0"/>
        <v>46.666666666666664</v>
      </c>
      <c r="F10" s="1" t="str">
        <f t="shared" si="1"/>
        <v>непроход</v>
      </c>
    </row>
    <row r="11" spans="1:6" x14ac:dyDescent="0.25">
      <c r="A11" s="1" t="s">
        <v>14</v>
      </c>
      <c r="B11" s="1">
        <v>70</v>
      </c>
      <c r="C11" s="1">
        <v>40</v>
      </c>
      <c r="D11" s="1">
        <v>60</v>
      </c>
      <c r="E11" s="2">
        <f t="shared" si="0"/>
        <v>56.666666666666664</v>
      </c>
      <c r="F11" s="1" t="str">
        <f t="shared" si="1"/>
        <v>непроход</v>
      </c>
    </row>
    <row r="12" spans="1:6" ht="28.5" customHeight="1" x14ac:dyDescent="0.25">
      <c r="A12" s="4" t="s">
        <v>16</v>
      </c>
      <c r="B12" s="2">
        <f>AVERAGE(B2:B11)</f>
        <v>61</v>
      </c>
      <c r="C12" s="2">
        <f t="shared" ref="C12:D12" si="2">AVERAGE(C2:C11)</f>
        <v>56</v>
      </c>
      <c r="D12" s="2">
        <f t="shared" si="2"/>
        <v>53</v>
      </c>
    </row>
  </sheetData>
  <pageMargins left="0.7" right="0.7" top="0.75" bottom="0.75" header="0.3" footer="0.3"/>
  <pageSetup paperSize="9"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G6" sqref="G6"/>
    </sheetView>
  </sheetViews>
  <sheetFormatPr defaultRowHeight="15" x14ac:dyDescent="0.25"/>
  <cols>
    <col min="1" max="1" width="9.28515625" customWidth="1"/>
    <col min="2" max="2" width="13.85546875" customWidth="1"/>
    <col min="3" max="3" width="24.140625" customWidth="1"/>
    <col min="4" max="4" width="22.85546875" customWidth="1"/>
  </cols>
  <sheetData>
    <row r="1" spans="1:4" x14ac:dyDescent="0.25">
      <c r="A1" s="24" t="s">
        <v>28</v>
      </c>
      <c r="B1" s="25"/>
      <c r="C1" s="25"/>
      <c r="D1" s="25"/>
    </row>
    <row r="2" spans="1:4" x14ac:dyDescent="0.25">
      <c r="A2" t="s">
        <v>34</v>
      </c>
      <c r="B2" s="22">
        <v>46079</v>
      </c>
    </row>
    <row r="3" spans="1:4" x14ac:dyDescent="0.25">
      <c r="A3" t="s">
        <v>35</v>
      </c>
      <c r="B3" s="23">
        <v>0.40972222222222227</v>
      </c>
    </row>
    <row r="4" spans="1:4" ht="30.75" thickBot="1" x14ac:dyDescent="0.3">
      <c r="A4" s="13" t="s">
        <v>27</v>
      </c>
      <c r="B4" s="13" t="s">
        <v>17</v>
      </c>
      <c r="C4" s="13" t="s">
        <v>19</v>
      </c>
      <c r="D4" s="13" t="s">
        <v>18</v>
      </c>
    </row>
    <row r="5" spans="1:4" ht="15" customHeight="1" thickTop="1" x14ac:dyDescent="0.25">
      <c r="A5" s="20">
        <v>1</v>
      </c>
      <c r="B5" s="11" t="s">
        <v>23</v>
      </c>
      <c r="C5" s="19">
        <v>50880.95</v>
      </c>
      <c r="D5" s="12">
        <f>C5/$C$11</f>
        <v>0.39852624800104203</v>
      </c>
    </row>
    <row r="6" spans="1:4" x14ac:dyDescent="0.25">
      <c r="A6" s="1">
        <v>2</v>
      </c>
      <c r="B6" s="5" t="s">
        <v>22</v>
      </c>
      <c r="C6" s="8">
        <v>25690.39</v>
      </c>
      <c r="D6" s="6">
        <f>C6/$C$11</f>
        <v>0.20122058916713409</v>
      </c>
    </row>
    <row r="7" spans="1:4" x14ac:dyDescent="0.25">
      <c r="A7" s="1">
        <v>3</v>
      </c>
      <c r="B7" s="5" t="s">
        <v>24</v>
      </c>
      <c r="C7" s="8">
        <v>19830.41</v>
      </c>
      <c r="D7" s="6">
        <f>C7/$C$11</f>
        <v>0.15532215679192987</v>
      </c>
    </row>
    <row r="8" spans="1:4" x14ac:dyDescent="0.25">
      <c r="A8" s="1">
        <v>4</v>
      </c>
      <c r="B8" s="5" t="s">
        <v>25</v>
      </c>
      <c r="C8" s="8">
        <v>14920.18</v>
      </c>
      <c r="D8" s="6">
        <f>C8/$C$11</f>
        <v>0.11686266382408717</v>
      </c>
    </row>
    <row r="9" spans="1:4" x14ac:dyDescent="0.25">
      <c r="A9" s="1">
        <v>5</v>
      </c>
      <c r="B9" s="5" t="s">
        <v>20</v>
      </c>
      <c r="C9" s="8">
        <v>10520.28</v>
      </c>
      <c r="D9" s="6">
        <f>C9/$C$11</f>
        <v>8.2400342688578002E-2</v>
      </c>
    </row>
    <row r="10" spans="1:4" x14ac:dyDescent="0.25">
      <c r="A10" s="1">
        <v>6</v>
      </c>
      <c r="B10" s="5" t="s">
        <v>21</v>
      </c>
      <c r="C10" s="8">
        <v>5830.56</v>
      </c>
      <c r="D10" s="6">
        <f>C10/$C$11</f>
        <v>4.5667999527228872E-2</v>
      </c>
    </row>
    <row r="11" spans="1:4" x14ac:dyDescent="0.25">
      <c r="A11" s="14"/>
      <c r="B11" s="21" t="s">
        <v>26</v>
      </c>
      <c r="C11" s="18">
        <f>SUM(C5:C10)</f>
        <v>127672.76999999999</v>
      </c>
      <c r="D11" s="17"/>
    </row>
  </sheetData>
  <sortState ref="B5:D10">
    <sortCondition descending="1" ref="C5:C10"/>
  </sortState>
  <mergeCells count="1">
    <mergeCell ref="A1:D1"/>
  </mergeCell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I11" sqref="I11"/>
    </sheetView>
  </sheetViews>
  <sheetFormatPr defaultRowHeight="15" x14ac:dyDescent="0.25"/>
  <cols>
    <col min="2" max="2" width="22" customWidth="1"/>
    <col min="3" max="3" width="11.7109375" customWidth="1"/>
    <col min="4" max="4" width="15" customWidth="1"/>
    <col min="5" max="5" width="11.5703125" customWidth="1"/>
  </cols>
  <sheetData>
    <row r="1" spans="1:6" x14ac:dyDescent="0.25">
      <c r="A1" s="10" t="s">
        <v>29</v>
      </c>
      <c r="B1" s="10"/>
      <c r="C1" s="10"/>
      <c r="D1" s="10"/>
      <c r="E1" s="10"/>
    </row>
    <row r="2" spans="1:6" x14ac:dyDescent="0.25">
      <c r="A2" s="7" t="s">
        <v>27</v>
      </c>
      <c r="B2" s="1" t="s">
        <v>30</v>
      </c>
      <c r="C2" s="1" t="s">
        <v>31</v>
      </c>
      <c r="D2" s="1" t="s">
        <v>32</v>
      </c>
      <c r="E2" s="1" t="s">
        <v>33</v>
      </c>
    </row>
    <row r="3" spans="1:6" x14ac:dyDescent="0.25">
      <c r="A3" s="9">
        <v>1</v>
      </c>
      <c r="B3" s="5" t="s">
        <v>38</v>
      </c>
      <c r="C3" s="27">
        <v>9800</v>
      </c>
      <c r="D3" s="28">
        <f>C3*'Налог с продаж'!$C$1</f>
        <v>490</v>
      </c>
      <c r="E3" s="28">
        <f>SUM(C3:D3)</f>
        <v>10290</v>
      </c>
    </row>
    <row r="4" spans="1:6" x14ac:dyDescent="0.25">
      <c r="A4" s="9">
        <v>2</v>
      </c>
      <c r="B4" s="5" t="s">
        <v>36</v>
      </c>
      <c r="C4" s="27">
        <v>5400</v>
      </c>
      <c r="D4" s="28">
        <f>C4*'Налог с продаж'!$C$1</f>
        <v>270</v>
      </c>
      <c r="E4" s="28">
        <f t="shared" ref="E4:E7" si="0">SUM(C4:D4)</f>
        <v>5670</v>
      </c>
    </row>
    <row r="5" spans="1:6" x14ac:dyDescent="0.25">
      <c r="A5" s="9">
        <v>3</v>
      </c>
      <c r="B5" s="5" t="s">
        <v>40</v>
      </c>
      <c r="C5" s="27">
        <v>3750</v>
      </c>
      <c r="D5" s="28">
        <f>C5*'Налог с продаж'!$C$1</f>
        <v>187.5</v>
      </c>
      <c r="E5" s="28">
        <f t="shared" si="0"/>
        <v>3937.5</v>
      </c>
    </row>
    <row r="6" spans="1:6" x14ac:dyDescent="0.25">
      <c r="A6" s="9">
        <v>4</v>
      </c>
      <c r="B6" s="5" t="s">
        <v>37</v>
      </c>
      <c r="C6" s="27">
        <v>2850</v>
      </c>
      <c r="D6" s="28">
        <f>C6*'Налог с продаж'!$C$1</f>
        <v>142.5</v>
      </c>
      <c r="E6" s="28">
        <f t="shared" si="0"/>
        <v>2992.5</v>
      </c>
    </row>
    <row r="7" spans="1:6" x14ac:dyDescent="0.25">
      <c r="A7" s="9">
        <v>5</v>
      </c>
      <c r="B7" s="5" t="s">
        <v>39</v>
      </c>
      <c r="C7" s="27">
        <v>2800</v>
      </c>
      <c r="D7" s="32">
        <f>C7*'Налог с продаж'!$C$1</f>
        <v>140</v>
      </c>
      <c r="E7" s="28">
        <f t="shared" si="0"/>
        <v>2940</v>
      </c>
      <c r="F7" s="26"/>
    </row>
    <row r="8" spans="1:6" x14ac:dyDescent="0.25">
      <c r="A8" s="29"/>
      <c r="B8" s="30"/>
      <c r="C8" s="31"/>
      <c r="D8" s="33" t="s">
        <v>26</v>
      </c>
      <c r="E8" s="34">
        <f>SUM(E3:E7)</f>
        <v>25830</v>
      </c>
      <c r="F8" s="26"/>
    </row>
    <row r="9" spans="1:6" x14ac:dyDescent="0.25">
      <c r="A9" s="14"/>
      <c r="B9" s="15"/>
      <c r="C9" s="16"/>
      <c r="D9" s="17"/>
      <c r="E9" s="26"/>
      <c r="F9" s="26"/>
    </row>
    <row r="10" spans="1:6" x14ac:dyDescent="0.25">
      <c r="A10" s="26"/>
      <c r="B10" s="26"/>
      <c r="C10" s="26"/>
      <c r="D10" s="26"/>
      <c r="E10" s="26"/>
      <c r="F10" s="26"/>
    </row>
    <row r="11" spans="1:6" x14ac:dyDescent="0.25">
      <c r="A11" s="26"/>
      <c r="B11" s="26"/>
      <c r="C11" s="26"/>
      <c r="D11" s="26"/>
      <c r="E11" s="26"/>
      <c r="F11" s="26"/>
    </row>
  </sheetData>
  <sortState ref="B3:C7">
    <sortCondition descending="1" ref="C3:C7"/>
  </sortState>
  <mergeCells count="1">
    <mergeCell ref="A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"/>
  <sheetViews>
    <sheetView tabSelected="1" workbookViewId="0">
      <selection activeCell="K2" sqref="K2"/>
    </sheetView>
  </sheetViews>
  <sheetFormatPr defaultRowHeight="15" x14ac:dyDescent="0.25"/>
  <cols>
    <col min="1" max="2" width="4" customWidth="1"/>
    <col min="3" max="3" width="2.7109375" customWidth="1"/>
    <col min="4" max="6" width="4" customWidth="1"/>
    <col min="7" max="7" width="2.42578125" customWidth="1"/>
    <col min="8" max="10" width="4" customWidth="1"/>
    <col min="11" max="11" width="2.28515625" customWidth="1"/>
    <col min="12" max="13" width="4" customWidth="1"/>
  </cols>
  <sheetData>
    <row r="1" spans="1:13" x14ac:dyDescent="0.25">
      <c r="A1" s="35">
        <v>46079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</row>
  </sheetData>
  <mergeCells count="1">
    <mergeCell ref="A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"/>
  <sheetViews>
    <sheetView workbookViewId="0">
      <selection activeCell="C1" sqref="C1"/>
    </sheetView>
  </sheetViews>
  <sheetFormatPr defaultRowHeight="15" x14ac:dyDescent="0.25"/>
  <cols>
    <col min="2" max="2" width="17.28515625" customWidth="1"/>
  </cols>
  <sheetData>
    <row r="1" spans="2:3" x14ac:dyDescent="0.25">
      <c r="B1" t="s">
        <v>32</v>
      </c>
      <c r="C1">
        <v>0.05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Лист1</vt:lpstr>
      <vt:lpstr>Лист2</vt:lpstr>
      <vt:lpstr>Расчёт цен</vt:lpstr>
      <vt:lpstr>Лист5</vt:lpstr>
      <vt:lpstr>Налог с продаж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2026-02-26T07:13:51Z</dcterms:modified>
</cp:coreProperties>
</file>