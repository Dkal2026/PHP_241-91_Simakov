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firstSheet="11" activeTab="17"/>
  </bookViews>
  <sheets>
    <sheet name="Лист1" sheetId="1" r:id="rId1"/>
    <sheet name="Лист6" sheetId="10" r:id="rId2"/>
    <sheet name="Расчёт цен" sheetId="3" r:id="rId3"/>
    <sheet name="Числа" sheetId="5" r:id="rId4"/>
    <sheet name="Налог с продаж" sheetId="4" r:id="rId5"/>
    <sheet name="Банк" sheetId="2" r:id="rId6"/>
    <sheet name="Диаграма" sheetId="6" r:id="rId7"/>
    <sheet name="Диаграмма" sheetId="7" r:id="rId8"/>
    <sheet name="График" sheetId="8" r:id="rId9"/>
    <sheet name="Изменение биоритмов человека" sheetId="9" r:id="rId10"/>
    <sheet name="Ну и погода" sheetId="11" r:id="rId11"/>
    <sheet name="Магазин" sheetId="12" r:id="rId12"/>
    <sheet name="Зарплата" sheetId="13" r:id="rId13"/>
    <sheet name="Сортировка" sheetId="14" r:id="rId14"/>
    <sheet name="Склад" sheetId="15" r:id="rId15"/>
    <sheet name="Сортировка2" sheetId="16" r:id="rId16"/>
    <sheet name="Поиск" sheetId="17" r:id="rId17"/>
    <sheet name="Больница" sheetId="18" r:id="rId18"/>
  </sheets>
  <definedNames>
    <definedName name="_xlnm._FilterDatabase" localSheetId="12" hidden="1">Зарплата!$A$1:$H$19</definedName>
    <definedName name="_xlnm._FilterDatabase" localSheetId="14" hidden="1">Склад!$A$2:$F$12</definedName>
    <definedName name="_xlnm._FilterDatabase" localSheetId="13" hidden="1">Сортировка!$A$44:$H$62</definedName>
  </definedNames>
  <calcPr calcId="152511"/>
</workbook>
</file>

<file path=xl/calcChain.xml><?xml version="1.0" encoding="utf-8"?>
<calcChain xmlns="http://schemas.openxmlformats.org/spreadsheetml/2006/main">
  <c r="O12" i="18" l="1"/>
  <c r="O9" i="18"/>
  <c r="O6" i="18"/>
  <c r="O3" i="18"/>
  <c r="D49" i="18" l="1"/>
  <c r="F49" i="18" s="1"/>
  <c r="D48" i="18"/>
  <c r="F48" i="18" s="1"/>
  <c r="D47" i="18"/>
  <c r="F47" i="18" s="1"/>
  <c r="D46" i="18"/>
  <c r="F46" i="18" s="1"/>
  <c r="D45" i="18"/>
  <c r="F45" i="18" s="1"/>
  <c r="D44" i="18"/>
  <c r="F44" i="18" s="1"/>
  <c r="D43" i="18"/>
  <c r="F43" i="18" s="1"/>
  <c r="D42" i="18"/>
  <c r="F42" i="18" s="1"/>
  <c r="D36" i="18"/>
  <c r="F36" i="18" s="1"/>
  <c r="D35" i="18"/>
  <c r="F35" i="18" s="1"/>
  <c r="D34" i="18"/>
  <c r="F34" i="18" s="1"/>
  <c r="D33" i="18"/>
  <c r="F33" i="18" s="1"/>
  <c r="D32" i="18"/>
  <c r="F32" i="18" s="1"/>
  <c r="D31" i="18"/>
  <c r="F31" i="18" s="1"/>
  <c r="D30" i="18"/>
  <c r="F30" i="18" s="1"/>
  <c r="D29" i="18"/>
  <c r="F29" i="18" s="1"/>
  <c r="D23" i="18"/>
  <c r="F23" i="18" s="1"/>
  <c r="F22" i="18"/>
  <c r="D22" i="18"/>
  <c r="D21" i="18"/>
  <c r="F21" i="18" s="1"/>
  <c r="F20" i="18"/>
  <c r="D20" i="18"/>
  <c r="D19" i="18"/>
  <c r="F19" i="18" s="1"/>
  <c r="F18" i="18"/>
  <c r="D18" i="18"/>
  <c r="D17" i="18"/>
  <c r="F17" i="18" s="1"/>
  <c r="D16" i="18"/>
  <c r="D25" i="18" s="1"/>
  <c r="D5" i="18"/>
  <c r="F5" i="18" s="1"/>
  <c r="D6" i="18"/>
  <c r="F6" i="18" s="1"/>
  <c r="D7" i="18"/>
  <c r="F7" i="18" s="1"/>
  <c r="D8" i="18"/>
  <c r="F8" i="18" s="1"/>
  <c r="D9" i="18"/>
  <c r="F9" i="18" s="1"/>
  <c r="D10" i="18"/>
  <c r="F10" i="18" s="1"/>
  <c r="D4" i="18"/>
  <c r="F4" i="18" s="1"/>
  <c r="D3" i="18"/>
  <c r="F3" i="18" s="1"/>
  <c r="F12" i="15"/>
  <c r="F11" i="16"/>
  <c r="D11" i="16"/>
  <c r="F10" i="16"/>
  <c r="D10" i="16"/>
  <c r="F9" i="16"/>
  <c r="D9" i="16"/>
  <c r="F8" i="16"/>
  <c r="D8" i="16"/>
  <c r="F7" i="16"/>
  <c r="D7" i="16"/>
  <c r="F6" i="16"/>
  <c r="D6" i="16"/>
  <c r="F5" i="16"/>
  <c r="D5" i="16"/>
  <c r="F4" i="16"/>
  <c r="D4" i="16"/>
  <c r="F3" i="16"/>
  <c r="D3" i="16"/>
  <c r="F2" i="16"/>
  <c r="D2" i="16"/>
  <c r="F5" i="15"/>
  <c r="F9" i="15"/>
  <c r="F8" i="15"/>
  <c r="F11" i="15"/>
  <c r="F7" i="15"/>
  <c r="F3" i="15"/>
  <c r="F4" i="15"/>
  <c r="F10" i="15"/>
  <c r="F6" i="15"/>
  <c r="D9" i="15"/>
  <c r="D5" i="15"/>
  <c r="D8" i="15"/>
  <c r="D11" i="15"/>
  <c r="D7" i="15"/>
  <c r="D3" i="15"/>
  <c r="D12" i="15"/>
  <c r="D4" i="15"/>
  <c r="D10" i="15"/>
  <c r="D6" i="15"/>
  <c r="F16" i="18" l="1"/>
  <c r="F25" i="18" s="1"/>
  <c r="F38" i="18"/>
  <c r="F51" i="18"/>
  <c r="D38" i="18"/>
  <c r="D51" i="18"/>
  <c r="F12" i="18"/>
  <c r="D12" i="18"/>
  <c r="G72" i="14"/>
  <c r="H72" i="14" s="1"/>
  <c r="G67" i="14"/>
  <c r="H67" i="14" s="1"/>
  <c r="G66" i="14"/>
  <c r="H66" i="14" s="1"/>
  <c r="G71" i="14"/>
  <c r="H71" i="14" s="1"/>
  <c r="G73" i="14"/>
  <c r="H73" i="14" s="1"/>
  <c r="G70" i="14"/>
  <c r="H70" i="14" s="1"/>
  <c r="G68" i="14"/>
  <c r="H68" i="14" s="1"/>
  <c r="G69" i="14"/>
  <c r="H69" i="14" s="1"/>
  <c r="G76" i="14"/>
  <c r="H76" i="14" s="1"/>
  <c r="G74" i="14"/>
  <c r="H74" i="14" s="1"/>
  <c r="G78" i="14"/>
  <c r="H78" i="14" s="1"/>
  <c r="G77" i="14"/>
  <c r="H77" i="14" s="1"/>
  <c r="G75" i="14"/>
  <c r="H75" i="14" s="1"/>
  <c r="G80" i="14"/>
  <c r="H80" i="14" s="1"/>
  <c r="G82" i="14"/>
  <c r="H82" i="14" s="1"/>
  <c r="G79" i="14"/>
  <c r="H79" i="14" s="1"/>
  <c r="G81" i="14"/>
  <c r="H81" i="14" s="1"/>
  <c r="G83" i="14"/>
  <c r="H83" i="14" s="1"/>
  <c r="G62" i="14"/>
  <c r="H62" i="14" s="1"/>
  <c r="G61" i="14"/>
  <c r="H61" i="14" s="1"/>
  <c r="G60" i="14"/>
  <c r="H60" i="14" s="1"/>
  <c r="G59" i="14"/>
  <c r="H59" i="14" s="1"/>
  <c r="G58" i="14"/>
  <c r="H58" i="14" s="1"/>
  <c r="G57" i="14"/>
  <c r="H57" i="14" s="1"/>
  <c r="G56" i="14"/>
  <c r="H56" i="14" s="1"/>
  <c r="G55" i="14"/>
  <c r="H55" i="14" s="1"/>
  <c r="G54" i="14"/>
  <c r="H54" i="14" s="1"/>
  <c r="G53" i="14"/>
  <c r="H53" i="14" s="1"/>
  <c r="G52" i="14"/>
  <c r="H52" i="14" s="1"/>
  <c r="G51" i="14"/>
  <c r="H51" i="14" s="1"/>
  <c r="G50" i="14"/>
  <c r="H50" i="14" s="1"/>
  <c r="G49" i="14"/>
  <c r="H49" i="14" s="1"/>
  <c r="G48" i="14"/>
  <c r="H48" i="14" s="1"/>
  <c r="G47" i="14"/>
  <c r="H47" i="14" s="1"/>
  <c r="G46" i="14"/>
  <c r="H46" i="14" s="1"/>
  <c r="G45" i="14"/>
  <c r="H45" i="14" s="1"/>
  <c r="G28" i="14"/>
  <c r="H28" i="14" s="1"/>
  <c r="G26" i="14"/>
  <c r="H26" i="14" s="1"/>
  <c r="G27" i="14"/>
  <c r="H27" i="14" s="1"/>
  <c r="G25" i="14"/>
  <c r="H25" i="14" s="1"/>
  <c r="G24" i="14"/>
  <c r="H24" i="14" s="1"/>
  <c r="G32" i="14"/>
  <c r="H32" i="14" s="1"/>
  <c r="G30" i="14"/>
  <c r="H30" i="14" s="1"/>
  <c r="G31" i="14"/>
  <c r="H31" i="14" s="1"/>
  <c r="G33" i="14"/>
  <c r="H33" i="14" s="1"/>
  <c r="G29" i="14"/>
  <c r="H29" i="14" s="1"/>
  <c r="G35" i="14"/>
  <c r="H35" i="14" s="1"/>
  <c r="G40" i="14"/>
  <c r="H40" i="14" s="1"/>
  <c r="G34" i="14"/>
  <c r="H34" i="14" s="1"/>
  <c r="G37" i="14"/>
  <c r="H37" i="14" s="1"/>
  <c r="G41" i="14"/>
  <c r="H41" i="14" s="1"/>
  <c r="G38" i="14"/>
  <c r="H38" i="14" s="1"/>
  <c r="G39" i="14"/>
  <c r="H39" i="14" s="1"/>
  <c r="G36" i="14"/>
  <c r="H36" i="14" s="1"/>
  <c r="G3" i="14"/>
  <c r="H3" i="14" s="1"/>
  <c r="G4" i="14"/>
  <c r="H4" i="14" s="1"/>
  <c r="G5" i="14"/>
  <c r="H5" i="14" s="1"/>
  <c r="G6" i="14"/>
  <c r="H6" i="14" s="1"/>
  <c r="G7" i="14"/>
  <c r="H7" i="14" s="1"/>
  <c r="G8" i="14"/>
  <c r="H8" i="14" s="1"/>
  <c r="G9" i="14"/>
  <c r="H9" i="14" s="1"/>
  <c r="G10" i="14"/>
  <c r="H10" i="14" s="1"/>
  <c r="G11" i="14"/>
  <c r="H11" i="14" s="1"/>
  <c r="G12" i="14"/>
  <c r="H12" i="14" s="1"/>
  <c r="G13" i="14"/>
  <c r="H13" i="14" s="1"/>
  <c r="G14" i="14"/>
  <c r="H14" i="14" s="1"/>
  <c r="G15" i="14"/>
  <c r="H15" i="14" s="1"/>
  <c r="G16" i="14"/>
  <c r="H16" i="14" s="1"/>
  <c r="G17" i="14"/>
  <c r="H17" i="14" s="1"/>
  <c r="G18" i="14"/>
  <c r="H18" i="14" s="1"/>
  <c r="G19" i="14"/>
  <c r="H19" i="14" s="1"/>
  <c r="G20" i="14"/>
  <c r="H20" i="14" s="1"/>
  <c r="G3" i="13" l="1"/>
  <c r="H3" i="13" s="1"/>
  <c r="G12" i="13"/>
  <c r="H12" i="13" s="1"/>
  <c r="G8" i="13"/>
  <c r="H8" i="13" s="1"/>
  <c r="G15" i="13"/>
  <c r="H15" i="13" s="1"/>
  <c r="G2" i="13"/>
  <c r="H2" i="13" s="1"/>
  <c r="G10" i="13"/>
  <c r="H10" i="13" s="1"/>
  <c r="G4" i="13"/>
  <c r="H4" i="13" s="1"/>
  <c r="G13" i="13"/>
  <c r="H13" i="13" s="1"/>
  <c r="G11" i="13"/>
  <c r="H11" i="13" s="1"/>
  <c r="G16" i="13"/>
  <c r="H16" i="13" s="1"/>
  <c r="G17" i="13"/>
  <c r="H17" i="13" s="1"/>
  <c r="G5" i="13"/>
  <c r="H5" i="13" s="1"/>
  <c r="G6" i="13"/>
  <c r="H6" i="13" s="1"/>
  <c r="G19" i="13"/>
  <c r="H19" i="13" s="1"/>
  <c r="G14" i="13"/>
  <c r="H14" i="13" s="1"/>
  <c r="G7" i="13"/>
  <c r="H7" i="13" s="1"/>
  <c r="G9" i="13"/>
  <c r="H9" i="13" s="1"/>
  <c r="G18" i="13"/>
  <c r="H18" i="13" s="1"/>
  <c r="H3" i="12" l="1"/>
  <c r="H4" i="12"/>
  <c r="H5" i="12"/>
  <c r="H6" i="12"/>
  <c r="C18" i="11"/>
  <c r="C19" i="11"/>
  <c r="C20" i="11"/>
  <c r="C21" i="11"/>
  <c r="C22" i="11"/>
  <c r="C23" i="11"/>
  <c r="C24" i="11"/>
  <c r="C25" i="11"/>
  <c r="C26" i="11"/>
  <c r="C27" i="11"/>
  <c r="C28" i="11"/>
  <c r="C17" i="11"/>
  <c r="B34" i="11"/>
  <c r="B33" i="11"/>
  <c r="B32" i="11"/>
  <c r="B31" i="11"/>
  <c r="B30" i="11"/>
  <c r="H6" i="11"/>
  <c r="H5" i="11"/>
  <c r="H4" i="11"/>
  <c r="H3" i="11"/>
  <c r="H2" i="11"/>
  <c r="B18" i="11"/>
  <c r="B19" i="11"/>
  <c r="B20" i="11"/>
  <c r="B21" i="11"/>
  <c r="B22" i="11"/>
  <c r="B23" i="11"/>
  <c r="B24" i="11"/>
  <c r="B25" i="11"/>
  <c r="B26" i="11"/>
  <c r="B27" i="11"/>
  <c r="B28" i="11"/>
  <c r="B17" i="11"/>
  <c r="A28" i="11"/>
  <c r="A26" i="11"/>
  <c r="A27" i="11"/>
  <c r="A18" i="11"/>
  <c r="A19" i="11"/>
  <c r="A20" i="11"/>
  <c r="A21" i="11"/>
  <c r="A22" i="11"/>
  <c r="A23" i="11"/>
  <c r="A24" i="11"/>
  <c r="A25" i="11"/>
  <c r="A17" i="11"/>
  <c r="G5" i="10" l="1"/>
  <c r="G6" i="10"/>
  <c r="G7" i="10"/>
  <c r="G8" i="10"/>
  <c r="G9" i="10"/>
  <c r="G10" i="10"/>
  <c r="G4" i="10"/>
  <c r="F5" i="10"/>
  <c r="F6" i="10"/>
  <c r="F7" i="10"/>
  <c r="F8" i="10"/>
  <c r="F9" i="10"/>
  <c r="F10" i="10"/>
  <c r="F4" i="10"/>
  <c r="A3" i="9"/>
  <c r="A4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2" i="9" s="1"/>
  <c r="B33" i="9" s="1"/>
  <c r="B34" i="9" s="1"/>
  <c r="B35" i="9" s="1"/>
  <c r="B36" i="9" s="1"/>
  <c r="B37" i="9" s="1"/>
  <c r="B38" i="9" s="1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" i="8"/>
  <c r="D7" i="7"/>
  <c r="E7" i="7" s="1"/>
  <c r="E6" i="7"/>
  <c r="D6" i="7"/>
  <c r="D5" i="7"/>
  <c r="E5" i="7" s="1"/>
  <c r="E4" i="7"/>
  <c r="D4" i="7"/>
  <c r="D3" i="7"/>
  <c r="E3" i="7" s="1"/>
  <c r="C11" i="6"/>
  <c r="D10" i="6"/>
  <c r="D9" i="6"/>
  <c r="D8" i="6"/>
  <c r="D7" i="6"/>
  <c r="D6" i="6"/>
  <c r="D5" i="6"/>
  <c r="A7" i="9" l="1"/>
  <c r="E8" i="7"/>
  <c r="K14" i="5"/>
  <c r="K13" i="5"/>
  <c r="K12" i="5"/>
  <c r="K11" i="5"/>
  <c r="K10" i="5"/>
  <c r="K9" i="5"/>
  <c r="K8" i="5"/>
  <c r="K6" i="5"/>
  <c r="K7" i="5"/>
  <c r="K5" i="5"/>
  <c r="A1" i="5"/>
  <c r="C7" i="9" l="1"/>
  <c r="E7" i="9"/>
  <c r="D7" i="9"/>
  <c r="A8" i="9"/>
  <c r="E8" i="9" s="1"/>
  <c r="E6" i="3"/>
  <c r="D4" i="3"/>
  <c r="E4" i="3" s="1"/>
  <c r="D5" i="3"/>
  <c r="E5" i="3" s="1"/>
  <c r="D6" i="3"/>
  <c r="D7" i="3"/>
  <c r="E7" i="3" s="1"/>
  <c r="D3" i="3"/>
  <c r="E3" i="3" s="1"/>
  <c r="C11" i="2"/>
  <c r="D7" i="2" s="1"/>
  <c r="A9" i="9" l="1"/>
  <c r="D8" i="9"/>
  <c r="C8" i="9"/>
  <c r="E8" i="3"/>
  <c r="D5" i="2"/>
  <c r="D9" i="2"/>
  <c r="D6" i="2"/>
  <c r="D8" i="2"/>
  <c r="D10" i="2"/>
  <c r="C12" i="1"/>
  <c r="D12" i="1"/>
  <c r="B12" i="1"/>
  <c r="E3" i="1"/>
  <c r="F3" i="1" s="1"/>
  <c r="E4" i="1"/>
  <c r="F4" i="1" s="1"/>
  <c r="E5" i="1"/>
  <c r="F5" i="1" s="1"/>
  <c r="E6" i="1"/>
  <c r="F6" i="1" s="1"/>
  <c r="E7" i="1"/>
  <c r="F7" i="1" s="1"/>
  <c r="E8" i="1"/>
  <c r="F8" i="1" s="1"/>
  <c r="E9" i="1"/>
  <c r="F9" i="1" s="1"/>
  <c r="E10" i="1"/>
  <c r="F10" i="1" s="1"/>
  <c r="E11" i="1"/>
  <c r="F11" i="1" s="1"/>
  <c r="E2" i="1"/>
  <c r="F2" i="1" s="1"/>
  <c r="D9" i="9" l="1"/>
  <c r="E9" i="9"/>
  <c r="C9" i="9"/>
  <c r="A10" i="9"/>
  <c r="D10" i="9" l="1"/>
  <c r="E10" i="9"/>
  <c r="C10" i="9"/>
  <c r="A11" i="9"/>
  <c r="D11" i="9" l="1"/>
  <c r="E11" i="9"/>
  <c r="C11" i="9"/>
  <c r="A12" i="9"/>
  <c r="A13" i="9" s="1"/>
  <c r="C12" i="9" l="1"/>
  <c r="D13" i="9"/>
  <c r="E13" i="9"/>
  <c r="D12" i="9"/>
  <c r="E12" i="9"/>
  <c r="A14" i="9"/>
  <c r="C13" i="9"/>
  <c r="D14" i="9" l="1"/>
  <c r="E14" i="9"/>
  <c r="A15" i="9"/>
  <c r="C14" i="9"/>
  <c r="D15" i="9" l="1"/>
  <c r="E15" i="9"/>
  <c r="A16" i="9"/>
  <c r="C15" i="9"/>
  <c r="D16" i="9" l="1"/>
  <c r="E16" i="9"/>
  <c r="A17" i="9"/>
  <c r="C16" i="9"/>
  <c r="D17" i="9" l="1"/>
  <c r="E17" i="9"/>
  <c r="A18" i="9"/>
  <c r="C17" i="9"/>
  <c r="D18" i="9" l="1"/>
  <c r="E18" i="9"/>
  <c r="A19" i="9"/>
  <c r="C18" i="9"/>
  <c r="D19" i="9" l="1"/>
  <c r="E19" i="9"/>
  <c r="A20" i="9"/>
  <c r="C19" i="9"/>
  <c r="D20" i="9" l="1"/>
  <c r="E20" i="9"/>
  <c r="A21" i="9"/>
  <c r="C20" i="9"/>
  <c r="D21" i="9" l="1"/>
  <c r="E21" i="9"/>
  <c r="A22" i="9"/>
  <c r="C21" i="9"/>
  <c r="D22" i="9" l="1"/>
  <c r="E22" i="9"/>
  <c r="A23" i="9"/>
  <c r="C22" i="9"/>
  <c r="D23" i="9" l="1"/>
  <c r="E23" i="9"/>
  <c r="A24" i="9"/>
  <c r="C23" i="9"/>
  <c r="D24" i="9" l="1"/>
  <c r="E24" i="9"/>
  <c r="A25" i="9"/>
  <c r="C24" i="9"/>
  <c r="D25" i="9" l="1"/>
  <c r="E25" i="9"/>
  <c r="A26" i="9"/>
  <c r="C25" i="9"/>
  <c r="D26" i="9" l="1"/>
  <c r="E26" i="9"/>
  <c r="A27" i="9"/>
  <c r="C26" i="9"/>
  <c r="D27" i="9" l="1"/>
  <c r="E27" i="9"/>
  <c r="A28" i="9"/>
  <c r="C27" i="9"/>
  <c r="D28" i="9" l="1"/>
  <c r="E28" i="9"/>
  <c r="A29" i="9"/>
  <c r="C28" i="9"/>
  <c r="D29" i="9" l="1"/>
  <c r="E29" i="9"/>
  <c r="A30" i="9"/>
  <c r="C29" i="9"/>
  <c r="D30" i="9" l="1"/>
  <c r="E30" i="9"/>
  <c r="A31" i="9"/>
  <c r="C30" i="9"/>
  <c r="D31" i="9" l="1"/>
  <c r="E31" i="9"/>
  <c r="A32" i="9"/>
  <c r="C31" i="9"/>
  <c r="D32" i="9" l="1"/>
  <c r="E32" i="9"/>
  <c r="A33" i="9"/>
  <c r="C32" i="9"/>
  <c r="D33" i="9" l="1"/>
  <c r="E33" i="9"/>
  <c r="A34" i="9"/>
  <c r="C33" i="9"/>
  <c r="D34" i="9" l="1"/>
  <c r="E34" i="9"/>
  <c r="A35" i="9"/>
  <c r="C34" i="9"/>
  <c r="D35" i="9" l="1"/>
  <c r="E35" i="9"/>
  <c r="A36" i="9"/>
  <c r="C35" i="9"/>
  <c r="D36" i="9" l="1"/>
  <c r="E36" i="9"/>
  <c r="A37" i="9"/>
  <c r="C36" i="9"/>
  <c r="D37" i="9" l="1"/>
  <c r="E37" i="9"/>
  <c r="A38" i="9"/>
  <c r="C37" i="9"/>
  <c r="D38" i="9" l="1"/>
  <c r="E38" i="9"/>
  <c r="C38" i="9"/>
</calcChain>
</file>

<file path=xl/sharedStrings.xml><?xml version="1.0" encoding="utf-8"?>
<sst xmlns="http://schemas.openxmlformats.org/spreadsheetml/2006/main" count="636" uniqueCount="193">
  <si>
    <t>Учащиеся</t>
  </si>
  <si>
    <t>Математика</t>
  </si>
  <si>
    <t>Русский</t>
  </si>
  <si>
    <t>Информатика</t>
  </si>
  <si>
    <t>Статус</t>
  </si>
  <si>
    <t>Студент1</t>
  </si>
  <si>
    <t>Студент2</t>
  </si>
  <si>
    <t>Студент3</t>
  </si>
  <si>
    <t>Студент4</t>
  </si>
  <si>
    <t>Студент5</t>
  </si>
  <si>
    <t>Студент6</t>
  </si>
  <si>
    <t>Студент7</t>
  </si>
  <si>
    <t>Студент8</t>
  </si>
  <si>
    <t>Студент9</t>
  </si>
  <si>
    <t>Студент10</t>
  </si>
  <si>
    <t>Средне Орифметическое</t>
  </si>
  <si>
    <t>Ср. знач. по предмету</t>
  </si>
  <si>
    <t>Фамилия вкладчика</t>
  </si>
  <si>
    <t>Доля общего вклада, %</t>
  </si>
  <si>
    <t>Сумма вклада, $ США</t>
  </si>
  <si>
    <t>Абрамов</t>
  </si>
  <si>
    <t>Михайлов</t>
  </si>
  <si>
    <t>Горелов</t>
  </si>
  <si>
    <t>Петров</t>
  </si>
  <si>
    <t>Абелян</t>
  </si>
  <si>
    <t>Лукашенко</t>
  </si>
  <si>
    <t>Итого:</t>
  </si>
  <si>
    <t>№п/п</t>
  </si>
  <si>
    <t>Индивидуальные вклады коммерческого банка</t>
  </si>
  <si>
    <t>Мебель для офиса</t>
  </si>
  <si>
    <t>Наименование товара</t>
  </si>
  <si>
    <t>Цена</t>
  </si>
  <si>
    <t>Налог с продаж</t>
  </si>
  <si>
    <t>Сумма</t>
  </si>
  <si>
    <t>дата</t>
  </si>
  <si>
    <t>время</t>
  </si>
  <si>
    <t>стол письменный</t>
  </si>
  <si>
    <t>стол компьютерный</t>
  </si>
  <si>
    <t>шкаф</t>
  </si>
  <si>
    <t>стул</t>
  </si>
  <si>
    <t>кресло</t>
  </si>
  <si>
    <t>общее количество чисел</t>
  </si>
  <si>
    <t>количество положительных чисел</t>
  </si>
  <si>
    <t>количество отрицательных чисел</t>
  </si>
  <si>
    <t>количество нулей</t>
  </si>
  <si>
    <t>максимальное значение</t>
  </si>
  <si>
    <t>сумма отрицательных чисел</t>
  </si>
  <si>
    <t>сумма положительных чисел</t>
  </si>
  <si>
    <t>сумма всех чисел</t>
  </si>
  <si>
    <t>среднее значение</t>
  </si>
  <si>
    <t>минимальное значение</t>
  </si>
  <si>
    <t>x</t>
  </si>
  <si>
    <t>y</t>
  </si>
  <si>
    <t>Фамилия, имя</t>
  </si>
  <si>
    <t>дата рождения</t>
  </si>
  <si>
    <t>текущая дата</t>
  </si>
  <si>
    <t>прожито дней</t>
  </si>
  <si>
    <t>Периоды</t>
  </si>
  <si>
    <t>дня</t>
  </si>
  <si>
    <t>дней</t>
  </si>
  <si>
    <t>физической</t>
  </si>
  <si>
    <t>эмоциональной</t>
  </si>
  <si>
    <t>интелектуальной</t>
  </si>
  <si>
    <t>даты иследований</t>
  </si>
  <si>
    <t>Таблица биоритмов</t>
  </si>
  <si>
    <t>Симаков Владислав</t>
  </si>
  <si>
    <t xml:space="preserve">Ведомость вступительных </t>
  </si>
  <si>
    <t>Проходной бал</t>
  </si>
  <si>
    <t>№ п/п</t>
  </si>
  <si>
    <t>Фамилия</t>
  </si>
  <si>
    <t>Иностранный</t>
  </si>
  <si>
    <t>Зачислен</t>
  </si>
  <si>
    <t>Антонов</t>
  </si>
  <si>
    <t>Акулова</t>
  </si>
  <si>
    <t>Борисов</t>
  </si>
  <si>
    <t>Воробьёва</t>
  </si>
  <si>
    <t>Григорьев</t>
  </si>
  <si>
    <t>Григорьева</t>
  </si>
  <si>
    <t>Сапожников</t>
  </si>
  <si>
    <t>Колличество осадков(мм)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</si>
  <si>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</si>
  <si>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</si>
  <si>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</si>
  <si>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</si>
  <si>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</si>
  <si>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</si>
  <si>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</si>
  <si>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</si>
  <si>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</si>
  <si>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</si>
  <si>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</si>
  <si>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</si>
  <si>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Данные за 2021</t>
  </si>
  <si>
    <t>прогноз</t>
  </si>
  <si>
    <t>максимальное кол-во осадков</t>
  </si>
  <si>
    <t>минимальное кол-во осадков</t>
  </si>
  <si>
    <t>суммарное кол-во осадков</t>
  </si>
  <si>
    <t>среднемесячное кол-во осадков</t>
  </si>
  <si>
    <t>кол-во эасушливых месяцев</t>
  </si>
  <si>
    <t>максимальное количество осадков за 3 года (мм)</t>
  </si>
  <si>
    <t>минимальное количество осадков за 3 года (мм)</t>
  </si>
  <si>
    <t>суммарное количество осадков за 3 года (мм)</t>
  </si>
  <si>
    <t>количество засушливых месяцев за 3 года</t>
  </si>
  <si>
    <t>среднемесячное количество осадков за 3 года (мм)</t>
  </si>
  <si>
    <t>Статья дохода</t>
  </si>
  <si>
    <t>ДОХОД ОТ ПРОДАЖ ЗА 1 ПОЛУГОДИЕ (В ДОЛЛАРАХ США)</t>
  </si>
  <si>
    <t>компьютеры</t>
  </si>
  <si>
    <t>аудиосистемы</t>
  </si>
  <si>
    <t>видеосистемы</t>
  </si>
  <si>
    <t>оргтехника</t>
  </si>
  <si>
    <t>в среденем</t>
  </si>
  <si>
    <t>Ф. И. О.</t>
  </si>
  <si>
    <t>Таб. номер</t>
  </si>
  <si>
    <t>Отдел</t>
  </si>
  <si>
    <t>Должность</t>
  </si>
  <si>
    <t>Начислено</t>
  </si>
  <si>
    <t>Удержано</t>
  </si>
  <si>
    <t>К выдаче</t>
  </si>
  <si>
    <t>Ли А. А.</t>
  </si>
  <si>
    <t>Иженер</t>
  </si>
  <si>
    <t>Сидоров Б. В.</t>
  </si>
  <si>
    <t>Бугалтер</t>
  </si>
  <si>
    <t>Петров П. П.</t>
  </si>
  <si>
    <t>Ст. инженер</t>
  </si>
  <si>
    <t>Алексеев Р. П.</t>
  </si>
  <si>
    <t>Бухгалтер</t>
  </si>
  <si>
    <t>Штагер Е. А.</t>
  </si>
  <si>
    <t>Нач. отдела</t>
  </si>
  <si>
    <t>Сидоров П. П.</t>
  </si>
  <si>
    <t>Зам. директора</t>
  </si>
  <si>
    <t>Сажин Р. О.</t>
  </si>
  <si>
    <t>Протасов И. А.</t>
  </si>
  <si>
    <t>Петров П. И.</t>
  </si>
  <si>
    <t>Пинчук И. И.</t>
  </si>
  <si>
    <t>Инженер</t>
  </si>
  <si>
    <t>Пилипенко Ю. Д.</t>
  </si>
  <si>
    <t>Петров С. В.</t>
  </si>
  <si>
    <t>Осина Л. Д.</t>
  </si>
  <si>
    <t>Референт</t>
  </si>
  <si>
    <t>Львов О. И.</t>
  </si>
  <si>
    <t>Ст. бухгалтер</t>
  </si>
  <si>
    <t>Козлов Е. И.</t>
  </si>
  <si>
    <t>Кириллов А. П.</t>
  </si>
  <si>
    <t>Cт. инженер</t>
  </si>
  <si>
    <t>Бондаренко А. А.</t>
  </si>
  <si>
    <t>Директор</t>
  </si>
  <si>
    <t>Алексеев И. В.</t>
  </si>
  <si>
    <t>Гл. бухгалтер</t>
  </si>
  <si>
    <t xml:space="preserve"> Сортировка Отдел, Начислено по убыванию.</t>
  </si>
  <si>
    <t xml:space="preserve"> Сортировка Отдел, Ф.И.О. по возрастанию.</t>
  </si>
  <si>
    <t xml:space="preserve"> Сортировка Отдел, Должность, Ф.И.О.</t>
  </si>
  <si>
    <t xml:space="preserve"> Сортировка Отдел, Должность, Таб. Номер.</t>
  </si>
  <si>
    <t>Склад</t>
  </si>
  <si>
    <t>Продукты</t>
  </si>
  <si>
    <t>Срок реализации</t>
  </si>
  <si>
    <t>Истек</t>
  </si>
  <si>
    <t>Количество</t>
  </si>
  <si>
    <t>Марс</t>
  </si>
  <si>
    <t>Сникерс</t>
  </si>
  <si>
    <t>Мармелад</t>
  </si>
  <si>
    <t>Рондо</t>
  </si>
  <si>
    <t>Твикс</t>
  </si>
  <si>
    <t>Пастила</t>
  </si>
  <si>
    <t>Баунти</t>
  </si>
  <si>
    <t>Шок</t>
  </si>
  <si>
    <t>Зефир</t>
  </si>
  <si>
    <t>просроченно</t>
  </si>
  <si>
    <t>не просроченно</t>
  </si>
  <si>
    <t>все продукты с истекшим сроком реализации</t>
  </si>
  <si>
    <t>все продукты, количество которых больше 300, а срок реализации еще не истек</t>
  </si>
  <si>
    <t>все продукты, для которых общая сумма не меньше 300 р. и не больше 1000 р.</t>
  </si>
  <si>
    <t>Все продукты сумма которых меньше 4000, и срок реализации истёк.</t>
  </si>
  <si>
    <t>А</t>
  </si>
  <si>
    <t>В</t>
  </si>
  <si>
    <t>коэф.</t>
  </si>
  <si>
    <t>зарплата сотрудников</t>
  </si>
  <si>
    <t>кол-во сотрудников</t>
  </si>
  <si>
    <t>сумм. з/плата</t>
  </si>
  <si>
    <t>санитарка</t>
  </si>
  <si>
    <t>медсестра</t>
  </si>
  <si>
    <t>врач</t>
  </si>
  <si>
    <t>завхоз</t>
  </si>
  <si>
    <t>зав. отд.</t>
  </si>
  <si>
    <t>зав. аптекой</t>
  </si>
  <si>
    <t>глав. Врач.</t>
  </si>
  <si>
    <t>зав. Больницей.</t>
  </si>
  <si>
    <t>з/пл.</t>
  </si>
  <si>
    <t>санитарки</t>
  </si>
  <si>
    <t>суммарный месячный фондз/пл</t>
  </si>
  <si>
    <t>Варианты штатного рассписания</t>
  </si>
  <si>
    <t>Вариант</t>
  </si>
  <si>
    <t>з/пл. санитарки</t>
  </si>
  <si>
    <t>Количество сотр.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</si>
</sst>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4" formatCode="_-* #,##0.00\ &quot;₽&quot;_-;\-* #,##0.00\ &quot;₽&quot;_-;_-* &quot;-&quot;??\ &quot;₽&quot;_-;_-@_-"/>
    <numFmt numFmtId="164" formatCode="[$$-409]#,##0.00"/>
    <numFmt numFmtId="165" formatCode="#,##0.00\ &quot;₽&quot;"/>
    <numFmt numFmtId="166" formatCode="[$-F400]h:mm:ss\ AM/PM"/>
    <numFmt numFmtId="167" formatCode="0.0"/>
    <numFmt numFmtId="168" formatCode="#,##0.0\ &quot;₽&quot;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174">
    <xf numFmtId="0" fontId="0" fillId="0" borderId="0" xfId="0"/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164" fontId="0" fillId="0" borderId="1" xfId="1" applyNumberFormat="1" applyFont="1" applyBorder="1" applyAlignment="1">
      <alignment horizontal="center" vertical="center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10" fontId="0" fillId="0" borderId="5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0" xfId="0" applyBorder="1" applyAlignment="1">
      <alignment horizontal="right"/>
    </xf>
    <xf numFmtId="0" fontId="0" fillId="0" borderId="0" xfId="0" applyBorder="1" applyAlignment="1">
      <alignment horizontal="left" vertical="center"/>
    </xf>
    <xf numFmtId="164" fontId="0" fillId="0" borderId="0" xfId="1" applyNumberFormat="1" applyFont="1" applyBorder="1" applyAlignment="1">
      <alignment horizontal="right" vertical="center"/>
    </xf>
    <xf numFmtId="0" fontId="0" fillId="0" borderId="0" xfId="0" applyBorder="1" applyAlignment="1">
      <alignment horizontal="center" vertical="center"/>
    </xf>
    <xf numFmtId="164" fontId="0" fillId="0" borderId="0" xfId="1" applyNumberFormat="1" applyFont="1" applyBorder="1" applyAlignment="1">
      <alignment horizontal="center" vertical="center"/>
    </xf>
    <xf numFmtId="164" fontId="0" fillId="0" borderId="5" xfId="1" applyNumberFormat="1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5" fillId="0" borderId="0" xfId="0" applyFont="1" applyBorder="1" applyAlignment="1">
      <alignment horizontal="left" vertical="center"/>
    </xf>
    <xf numFmtId="14" fontId="6" fillId="0" borderId="0" xfId="0" applyNumberFormat="1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0" xfId="0" applyBorder="1"/>
    <xf numFmtId="165" fontId="0" fillId="0" borderId="1" xfId="1" applyNumberFormat="1" applyFon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right"/>
    </xf>
    <xf numFmtId="0" fontId="0" fillId="0" borderId="2" xfId="0" applyBorder="1" applyAlignment="1">
      <alignment horizontal="left" vertical="center"/>
    </xf>
    <xf numFmtId="164" fontId="0" fillId="0" borderId="2" xfId="1" applyNumberFormat="1" applyFont="1" applyBorder="1" applyAlignment="1">
      <alignment horizontal="right" vertical="center"/>
    </xf>
    <xf numFmtId="165" fontId="0" fillId="0" borderId="6" xfId="0" applyNumberFormat="1" applyBorder="1" applyAlignment="1">
      <alignment horizontal="center" vertical="center"/>
    </xf>
    <xf numFmtId="10" fontId="0" fillId="0" borderId="3" xfId="0" applyNumberFormat="1" applyBorder="1" applyAlignment="1">
      <alignment horizontal="right" vertical="center"/>
    </xf>
    <xf numFmtId="165" fontId="0" fillId="2" borderId="3" xfId="0" applyNumberForma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Fill="1" applyBorder="1" applyAlignment="1">
      <alignment horizontal="center" vertical="center"/>
    </xf>
    <xf numFmtId="14" fontId="0" fillId="0" borderId="1" xfId="0" applyNumberFormat="1" applyBorder="1"/>
    <xf numFmtId="0" fontId="0" fillId="0" borderId="1" xfId="0" applyBorder="1"/>
    <xf numFmtId="2" fontId="0" fillId="0" borderId="1" xfId="0" applyNumberFormat="1" applyBorder="1"/>
    <xf numFmtId="0" fontId="4" fillId="0" borderId="0" xfId="0" applyFont="1" applyBorder="1" applyAlignment="1">
      <alignment horizontal="right" vertical="center"/>
    </xf>
    <xf numFmtId="0" fontId="0" fillId="0" borderId="8" xfId="0" applyBorder="1"/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center"/>
    </xf>
    <xf numFmtId="167" fontId="0" fillId="0" borderId="1" xfId="0" applyNumberFormat="1" applyBorder="1"/>
    <xf numFmtId="0" fontId="5" fillId="0" borderId="1" xfId="0" applyFont="1" applyBorder="1"/>
    <xf numFmtId="3" fontId="0" fillId="0" borderId="0" xfId="0" applyNumberFormat="1"/>
    <xf numFmtId="3" fontId="0" fillId="0" borderId="1" xfId="0" applyNumberFormat="1" applyBorder="1"/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0" applyNumberFormat="1"/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0" borderId="9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165" fontId="0" fillId="0" borderId="6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8" xfId="0" applyBorder="1" applyAlignment="1">
      <alignment horizontal="left" vertical="center"/>
    </xf>
    <xf numFmtId="165" fontId="0" fillId="0" borderId="8" xfId="0" applyNumberFormat="1" applyBorder="1" applyAlignment="1">
      <alignment horizontal="center" vertical="center"/>
    </xf>
    <xf numFmtId="165" fontId="0" fillId="0" borderId="8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/>
    </xf>
    <xf numFmtId="165" fontId="4" fillId="0" borderId="11" xfId="0" applyNumberFormat="1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0" fillId="0" borderId="13" xfId="0" applyBorder="1" applyAlignment="1">
      <alignment horizontal="center" vertical="center"/>
    </xf>
    <xf numFmtId="165" fontId="0" fillId="0" borderId="14" xfId="0" applyNumberFormat="1" applyBorder="1" applyAlignment="1">
      <alignment horizont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left" vertical="center"/>
    </xf>
    <xf numFmtId="0" fontId="0" fillId="0" borderId="16" xfId="0" applyBorder="1" applyAlignment="1">
      <alignment horizontal="center" vertical="center"/>
    </xf>
    <xf numFmtId="165" fontId="0" fillId="0" borderId="16" xfId="0" applyNumberFormat="1" applyBorder="1" applyAlignment="1">
      <alignment horizontal="center" vertical="center"/>
    </xf>
    <xf numFmtId="165" fontId="0" fillId="0" borderId="16" xfId="0" applyNumberFormat="1" applyBorder="1" applyAlignment="1">
      <alignment horizontal="center"/>
    </xf>
    <xf numFmtId="165" fontId="0" fillId="0" borderId="17" xfId="0" applyNumberFormat="1" applyBorder="1" applyAlignment="1">
      <alignment horizontal="center"/>
    </xf>
    <xf numFmtId="168" fontId="0" fillId="0" borderId="1" xfId="0" applyNumberFormat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5" xfId="0" applyBorder="1" applyAlignment="1">
      <alignment horizontal="left"/>
    </xf>
    <xf numFmtId="168" fontId="0" fillId="0" borderId="16" xfId="0" applyNumberForma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21" xfId="0" applyBorder="1" applyAlignment="1">
      <alignment horizontal="left"/>
    </xf>
    <xf numFmtId="168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2" xfId="0" applyBorder="1" applyAlignment="1">
      <alignment horizontal="center"/>
    </xf>
    <xf numFmtId="0" fontId="4" fillId="0" borderId="23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 wrapText="1" shrinkToFit="1"/>
    </xf>
    <xf numFmtId="0" fontId="4" fillId="0" borderId="24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/>
    </xf>
    <xf numFmtId="0" fontId="4" fillId="0" borderId="0" xfId="0" applyFont="1"/>
    <xf numFmtId="0" fontId="1" fillId="0" borderId="0" xfId="0" applyFont="1"/>
    <xf numFmtId="14" fontId="0" fillId="0" borderId="5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0" fontId="1" fillId="0" borderId="0" xfId="0" applyFont="1" applyBorder="1"/>
    <xf numFmtId="0" fontId="0" fillId="0" borderId="10" xfId="0" applyBorder="1" applyAlignment="1">
      <alignment horizontal="left"/>
    </xf>
    <xf numFmtId="168" fontId="0" fillId="0" borderId="11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14" fontId="0" fillId="0" borderId="11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168" fontId="0" fillId="0" borderId="26" xfId="0" applyNumberFormat="1" applyBorder="1" applyAlignment="1">
      <alignment horizontal="center"/>
    </xf>
    <xf numFmtId="14" fontId="0" fillId="0" borderId="26" xfId="0" applyNumberFormat="1" applyBorder="1" applyAlignment="1">
      <alignment horizontal="center"/>
    </xf>
    <xf numFmtId="0" fontId="0" fillId="0" borderId="27" xfId="0" applyBorder="1" applyAlignment="1">
      <alignment horizontal="center"/>
    </xf>
    <xf numFmtId="0" fontId="4" fillId="0" borderId="0" xfId="0" applyFont="1" applyBorder="1" applyAlignment="1">
      <alignment horizontal="center" vertical="center" wrapText="1" shrinkToFit="1"/>
    </xf>
    <xf numFmtId="0" fontId="4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left"/>
    </xf>
    <xf numFmtId="168" fontId="0" fillId="0" borderId="0" xfId="0" applyNumberFormat="1" applyBorder="1" applyAlignment="1">
      <alignment horizontal="center"/>
    </xf>
    <xf numFmtId="0" fontId="4" fillId="0" borderId="23" xfId="0" applyFont="1" applyBorder="1" applyAlignment="1">
      <alignment vertical="center"/>
    </xf>
    <xf numFmtId="0" fontId="0" fillId="0" borderId="21" xfId="0" applyBorder="1" applyAlignment="1">
      <alignment horizontal="left" vertical="center"/>
    </xf>
    <xf numFmtId="168" fontId="0" fillId="0" borderId="5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3" xfId="0" applyBorder="1" applyAlignment="1">
      <alignment horizontal="left" vertical="center"/>
    </xf>
    <xf numFmtId="168" fontId="0" fillId="0" borderId="1" xfId="0" applyNumberFormat="1" applyBorder="1" applyAlignment="1">
      <alignment horizontal="center" vertical="center"/>
    </xf>
    <xf numFmtId="0" fontId="0" fillId="0" borderId="15" xfId="0" applyBorder="1" applyAlignment="1">
      <alignment horizontal="left" vertical="center"/>
    </xf>
    <xf numFmtId="168" fontId="0" fillId="0" borderId="16" xfId="0" applyNumberFormat="1" applyBorder="1" applyAlignment="1">
      <alignment horizontal="center" vertical="center"/>
    </xf>
    <xf numFmtId="168" fontId="0" fillId="0" borderId="26" xfId="0" applyNumberFormat="1" applyBorder="1" applyAlignment="1">
      <alignment horizontal="center" vertical="center"/>
    </xf>
    <xf numFmtId="14" fontId="0" fillId="0" borderId="26" xfId="0" applyNumberForma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0" fillId="0" borderId="1" xfId="0" applyFill="1" applyBorder="1"/>
    <xf numFmtId="165" fontId="0" fillId="0" borderId="1" xfId="0" applyNumberFormat="1" applyBorder="1"/>
    <xf numFmtId="44" fontId="0" fillId="0" borderId="0" xfId="1" applyFont="1"/>
    <xf numFmtId="0" fontId="0" fillId="0" borderId="0" xfId="0" applyAlignment="1"/>
    <xf numFmtId="0" fontId="0" fillId="0" borderId="9" xfId="0" applyBorder="1"/>
    <xf numFmtId="0" fontId="0" fillId="0" borderId="11" xfId="0" applyBorder="1"/>
    <xf numFmtId="0" fontId="0" fillId="0" borderId="16" xfId="0" applyBorder="1"/>
    <xf numFmtId="0" fontId="0" fillId="0" borderId="33" xfId="0" applyBorder="1"/>
    <xf numFmtId="0" fontId="0" fillId="0" borderId="32" xfId="0" applyBorder="1"/>
    <xf numFmtId="0" fontId="4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4" fillId="0" borderId="24" xfId="0" applyFont="1" applyBorder="1" applyAlignment="1">
      <alignment horizontal="center"/>
    </xf>
    <xf numFmtId="0" fontId="4" fillId="0" borderId="25" xfId="0" applyFont="1" applyBorder="1" applyAlignment="1">
      <alignment horizontal="center"/>
    </xf>
    <xf numFmtId="0" fontId="0" fillId="0" borderId="28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65" fontId="0" fillId="0" borderId="31" xfId="0" applyNumberFormat="1" applyBorder="1" applyAlignment="1">
      <alignment horizontal="center" vertical="center"/>
    </xf>
    <xf numFmtId="165" fontId="0" fillId="0" borderId="32" xfId="0" applyNumberFormat="1" applyBorder="1" applyAlignment="1">
      <alignment horizontal="center" vertical="center"/>
    </xf>
    <xf numFmtId="165" fontId="0" fillId="0" borderId="27" xfId="0" applyNumberForma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</cellXfs>
  <cellStyles count="2">
    <cellStyle name="Денежный" xfId="1" builtinId="4"/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Среднее</a:t>
            </a:r>
            <a:r>
              <a:rPr lang="ru-RU" baseline="0"/>
              <a:t> значение по предметам</a:t>
            </a:r>
          </a:p>
          <a:p>
            <a:pPr>
              <a:defRPr/>
            </a:pP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Лист1!$B$1:$D$1</c:f>
              <c:strCache>
                <c:ptCount val="3"/>
                <c:pt idx="0">
                  <c:v>Математика</c:v>
                </c:pt>
                <c:pt idx="1">
                  <c:v>Русский</c:v>
                </c:pt>
                <c:pt idx="2">
                  <c:v>Информатика</c:v>
                </c:pt>
              </c:strCache>
            </c:strRef>
          </c:cat>
          <c:val>
            <c:numRef>
              <c:f>Лист1!$B$12:$D$12</c:f>
              <c:numCache>
                <c:formatCode>0.00</c:formatCode>
                <c:ptCount val="3"/>
                <c:pt idx="0">
                  <c:v>61</c:v>
                </c:pt>
                <c:pt idx="1">
                  <c:v>56</c:v>
                </c:pt>
                <c:pt idx="2">
                  <c:v>53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ourier New" panose="02070309020205020404" pitchFamily="49" charset="0"/>
                <a:ea typeface="+mn-ea"/>
                <a:cs typeface="Courier New" panose="02070309020205020404" pitchFamily="49" charset="0"/>
              </a:defRPr>
            </a:pPr>
            <a:r>
              <a:rPr lang="ru-RU" sz="1200">
                <a:latin typeface="Courier New" panose="02070309020205020404" pitchFamily="49" charset="0"/>
                <a:cs typeface="Courier New" panose="02070309020205020404" pitchFamily="49" charset="0"/>
              </a:rPr>
              <a:t>Банк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ourier New" panose="02070309020205020404" pitchFamily="49" charset="0"/>
              <a:ea typeface="+mn-ea"/>
              <a:cs typeface="Courier New" panose="02070309020205020404" pitchFamily="49" charset="0"/>
            </a:defRPr>
          </a:pPr>
          <a:endParaRPr lang="ru-RU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explosion val="4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Диаграма!$B$5:$B$10</c:f>
              <c:strCache>
                <c:ptCount val="6"/>
                <c:pt idx="0">
                  <c:v>Петров</c:v>
                </c:pt>
                <c:pt idx="1">
                  <c:v>Горелов</c:v>
                </c:pt>
                <c:pt idx="2">
                  <c:v>Абелян</c:v>
                </c:pt>
                <c:pt idx="3">
                  <c:v>Лукашенко</c:v>
                </c:pt>
                <c:pt idx="4">
                  <c:v>Абрамов</c:v>
                </c:pt>
                <c:pt idx="5">
                  <c:v>Михайлов</c:v>
                </c:pt>
              </c:strCache>
            </c:strRef>
          </c:cat>
          <c:val>
            <c:numRef>
              <c:f>Диаграма!$D$5:$D$10</c:f>
              <c:numCache>
                <c:formatCode>0.00%</c:formatCode>
                <c:ptCount val="6"/>
                <c:pt idx="0">
                  <c:v>0.39852624800104203</c:v>
                </c:pt>
                <c:pt idx="1">
                  <c:v>0.20122058916713409</c:v>
                </c:pt>
                <c:pt idx="2">
                  <c:v>0.15532215679192987</c:v>
                </c:pt>
                <c:pt idx="3">
                  <c:v>0.11686266382408717</c:v>
                </c:pt>
                <c:pt idx="4">
                  <c:v>8.2400342688578002E-2</c:v>
                </c:pt>
                <c:pt idx="5">
                  <c:v>4.5667999527228872E-2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3691229221347319"/>
          <c:y val="0.5308894721493147"/>
          <c:w val="0.16308770778652668"/>
          <c:h val="0.4687532808398950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Расчёт цен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Диаграмма!$B$3:$B$7</c:f>
              <c:strCache>
                <c:ptCount val="5"/>
                <c:pt idx="0">
                  <c:v>шкаф</c:v>
                </c:pt>
                <c:pt idx="1">
                  <c:v>стол письменный</c:v>
                </c:pt>
                <c:pt idx="2">
                  <c:v>кресло</c:v>
                </c:pt>
                <c:pt idx="3">
                  <c:v>стол компьютерный</c:v>
                </c:pt>
                <c:pt idx="4">
                  <c:v>стул</c:v>
                </c:pt>
              </c:strCache>
            </c:strRef>
          </c:cat>
          <c:val>
            <c:numRef>
              <c:f>Диаграмма!$E$3:$E$7</c:f>
              <c:numCache>
                <c:formatCode>#\ ##0.00\ "₽"</c:formatCode>
                <c:ptCount val="5"/>
                <c:pt idx="0">
                  <c:v>10290</c:v>
                </c:pt>
                <c:pt idx="1">
                  <c:v>5670</c:v>
                </c:pt>
                <c:pt idx="2">
                  <c:v>3937.5</c:v>
                </c:pt>
                <c:pt idx="3">
                  <c:v>2992.5</c:v>
                </c:pt>
                <c:pt idx="4">
                  <c:v>2940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89918832"/>
        <c:axId val="589914480"/>
      </c:barChart>
      <c:catAx>
        <c:axId val="589918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89914480"/>
        <c:crosses val="autoZero"/>
        <c:auto val="1"/>
        <c:lblAlgn val="ctr"/>
        <c:lblOffset val="100"/>
        <c:noMultiLvlLbl val="0"/>
      </c:catAx>
      <c:valAx>
        <c:axId val="589914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.00\ &quot;₽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89918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 = sin(x)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4.6270778652668418E-2"/>
          <c:y val="0.15782407407407409"/>
          <c:w val="0.9223958880139983"/>
          <c:h val="0.77736111111111106"/>
        </c:manualLayout>
      </c:layout>
      <c:scatterChart>
        <c:scatterStyle val="lineMarker"/>
        <c:varyColors val="0"/>
        <c:ser>
          <c:idx val="0"/>
          <c:order val="0"/>
          <c:tx>
            <c:strRef>
              <c:f>График!$B$1</c:f>
              <c:strCache>
                <c:ptCount val="1"/>
                <c:pt idx="0">
                  <c:v>y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График!$A$2:$A$22</c:f>
              <c:numCache>
                <c:formatCode>General</c:formatCode>
                <c:ptCount val="21"/>
                <c:pt idx="0">
                  <c:v>-5</c:v>
                </c:pt>
                <c:pt idx="1">
                  <c:v>-4.5</c:v>
                </c:pt>
                <c:pt idx="2">
                  <c:v>-4</c:v>
                </c:pt>
                <c:pt idx="3">
                  <c:v>-3.5</c:v>
                </c:pt>
                <c:pt idx="4">
                  <c:v>-3</c:v>
                </c:pt>
                <c:pt idx="5">
                  <c:v>-2.5</c:v>
                </c:pt>
                <c:pt idx="6">
                  <c:v>-2</c:v>
                </c:pt>
                <c:pt idx="7">
                  <c:v>-1.5</c:v>
                </c:pt>
                <c:pt idx="8">
                  <c:v>-1</c:v>
                </c:pt>
                <c:pt idx="9">
                  <c:v>-0.5</c:v>
                </c:pt>
                <c:pt idx="10">
                  <c:v>0</c:v>
                </c:pt>
                <c:pt idx="11">
                  <c:v>0.5</c:v>
                </c:pt>
                <c:pt idx="12">
                  <c:v>1</c:v>
                </c:pt>
                <c:pt idx="13">
                  <c:v>1.5</c:v>
                </c:pt>
                <c:pt idx="14">
                  <c:v>2</c:v>
                </c:pt>
                <c:pt idx="15">
                  <c:v>2.5</c:v>
                </c:pt>
                <c:pt idx="16">
                  <c:v>3</c:v>
                </c:pt>
                <c:pt idx="17">
                  <c:v>3.5</c:v>
                </c:pt>
                <c:pt idx="18">
                  <c:v>4</c:v>
                </c:pt>
                <c:pt idx="19">
                  <c:v>4.5</c:v>
                </c:pt>
                <c:pt idx="20">
                  <c:v>5</c:v>
                </c:pt>
              </c:numCache>
            </c:numRef>
          </c:xVal>
          <c:yVal>
            <c:numRef>
              <c:f>График!$B$2:$B$22</c:f>
              <c:numCache>
                <c:formatCode>0.00</c:formatCode>
                <c:ptCount val="21"/>
                <c:pt idx="0">
                  <c:v>0.95892427466313845</c:v>
                </c:pt>
                <c:pt idx="1">
                  <c:v>0.97753011766509701</c:v>
                </c:pt>
                <c:pt idx="2">
                  <c:v>0.7568024953079282</c:v>
                </c:pt>
                <c:pt idx="3">
                  <c:v>0.35078322768961984</c:v>
                </c:pt>
                <c:pt idx="4">
                  <c:v>-0.14112000805986721</c:v>
                </c:pt>
                <c:pt idx="5">
                  <c:v>-0.59847214410395655</c:v>
                </c:pt>
                <c:pt idx="6">
                  <c:v>-0.90929742682568171</c:v>
                </c:pt>
                <c:pt idx="7">
                  <c:v>-0.99749498660405445</c:v>
                </c:pt>
                <c:pt idx="8">
                  <c:v>-0.8414709848078965</c:v>
                </c:pt>
                <c:pt idx="9">
                  <c:v>-0.47942553860420301</c:v>
                </c:pt>
                <c:pt idx="10">
                  <c:v>0</c:v>
                </c:pt>
                <c:pt idx="11">
                  <c:v>0.47942553860420301</c:v>
                </c:pt>
                <c:pt idx="12">
                  <c:v>0.8414709848078965</c:v>
                </c:pt>
                <c:pt idx="13">
                  <c:v>0.99749498660405445</c:v>
                </c:pt>
                <c:pt idx="14">
                  <c:v>0.90929742682568171</c:v>
                </c:pt>
                <c:pt idx="15">
                  <c:v>0.59847214410395655</c:v>
                </c:pt>
                <c:pt idx="16">
                  <c:v>0.14112000805986721</c:v>
                </c:pt>
                <c:pt idx="17">
                  <c:v>-0.35078322768961984</c:v>
                </c:pt>
                <c:pt idx="18">
                  <c:v>-0.7568024953079282</c:v>
                </c:pt>
                <c:pt idx="19">
                  <c:v>-0.97753011766509701</c:v>
                </c:pt>
                <c:pt idx="20">
                  <c:v>-0.95892427466313845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9919920"/>
        <c:axId val="589913392"/>
      </c:scatterChart>
      <c:valAx>
        <c:axId val="589919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89913392"/>
        <c:crosses val="autoZero"/>
        <c:crossBetween val="midCat"/>
      </c:valAx>
      <c:valAx>
        <c:axId val="58991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899199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6.8382339598086483E-2"/>
          <c:y val="0.10764065429190482"/>
          <c:w val="0.9091833209920378"/>
          <c:h val="0.76915286354523638"/>
        </c:manualLayout>
      </c:layout>
      <c:lineChart>
        <c:grouping val="standard"/>
        <c:varyColors val="0"/>
        <c:ser>
          <c:idx val="0"/>
          <c:order val="0"/>
          <c:tx>
            <c:strRef>
              <c:f>'Изменение биоритмов человека'!$C$6</c:f>
              <c:strCache>
                <c:ptCount val="1"/>
                <c:pt idx="0">
                  <c:v>физической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'Изменение биоритмов человека'!$A$7:$A$38</c:f>
              <c:numCache>
                <c:formatCode>m/d/yyyy</c:formatCode>
                <c:ptCount val="32"/>
                <c:pt idx="0">
                  <c:v>46174</c:v>
                </c:pt>
                <c:pt idx="1">
                  <c:v>46175</c:v>
                </c:pt>
                <c:pt idx="2">
                  <c:v>46176</c:v>
                </c:pt>
                <c:pt idx="3">
                  <c:v>46177</c:v>
                </c:pt>
                <c:pt idx="4">
                  <c:v>46178</c:v>
                </c:pt>
                <c:pt idx="5">
                  <c:v>46179</c:v>
                </c:pt>
                <c:pt idx="6">
                  <c:v>46180</c:v>
                </c:pt>
                <c:pt idx="7">
                  <c:v>46181</c:v>
                </c:pt>
                <c:pt idx="8">
                  <c:v>46182</c:v>
                </c:pt>
                <c:pt idx="9">
                  <c:v>46183</c:v>
                </c:pt>
                <c:pt idx="10">
                  <c:v>46184</c:v>
                </c:pt>
                <c:pt idx="11">
                  <c:v>46185</c:v>
                </c:pt>
                <c:pt idx="12">
                  <c:v>46186</c:v>
                </c:pt>
                <c:pt idx="13">
                  <c:v>46187</c:v>
                </c:pt>
                <c:pt idx="14">
                  <c:v>46188</c:v>
                </c:pt>
                <c:pt idx="15">
                  <c:v>46189</c:v>
                </c:pt>
                <c:pt idx="16">
                  <c:v>46190</c:v>
                </c:pt>
                <c:pt idx="17">
                  <c:v>46191</c:v>
                </c:pt>
                <c:pt idx="18">
                  <c:v>46192</c:v>
                </c:pt>
                <c:pt idx="19">
                  <c:v>46193</c:v>
                </c:pt>
                <c:pt idx="20">
                  <c:v>46194</c:v>
                </c:pt>
                <c:pt idx="21">
                  <c:v>46195</c:v>
                </c:pt>
                <c:pt idx="22">
                  <c:v>46196</c:v>
                </c:pt>
                <c:pt idx="23">
                  <c:v>46197</c:v>
                </c:pt>
                <c:pt idx="24">
                  <c:v>46198</c:v>
                </c:pt>
                <c:pt idx="25">
                  <c:v>46199</c:v>
                </c:pt>
                <c:pt idx="26">
                  <c:v>46200</c:v>
                </c:pt>
                <c:pt idx="27">
                  <c:v>46201</c:v>
                </c:pt>
                <c:pt idx="28">
                  <c:v>46202</c:v>
                </c:pt>
                <c:pt idx="29">
                  <c:v>46203</c:v>
                </c:pt>
                <c:pt idx="30">
                  <c:v>46204</c:v>
                </c:pt>
                <c:pt idx="31">
                  <c:v>46205</c:v>
                </c:pt>
              </c:numCache>
            </c:numRef>
          </c:cat>
          <c:val>
            <c:numRef>
              <c:f>'Изменение биоритмов человека'!$C$7:$C$38</c:f>
              <c:numCache>
                <c:formatCode>0.00</c:formatCode>
                <c:ptCount val="32"/>
                <c:pt idx="0">
                  <c:v>-0.52583651060970782</c:v>
                </c:pt>
                <c:pt idx="1">
                  <c:v>-0.31835581676799474</c:v>
                </c:pt>
                <c:pt idx="2">
                  <c:v>-9.4151191461850053E-2</c:v>
                </c:pt>
                <c:pt idx="3">
                  <c:v>0.13499940307505373</c:v>
                </c:pt>
                <c:pt idx="4">
                  <c:v>0.35705818195524541</c:v>
                </c:pt>
                <c:pt idx="5">
                  <c:v>0.56035990897729226</c:v>
                </c:pt>
                <c:pt idx="6">
                  <c:v>0.73422469713462291</c:v>
                </c:pt>
                <c:pt idx="7">
                  <c:v>0.86951904658996171</c:v>
                </c:pt>
                <c:pt idx="8">
                  <c:v>0.95913564750187486</c:v>
                </c:pt>
                <c:pt idx="9">
                  <c:v>0.99836674266209258</c:v>
                </c:pt>
                <c:pt idx="10">
                  <c:v>0.98515143632913549</c:v>
                </c:pt>
                <c:pt idx="11">
                  <c:v>0.92018395761939165</c:v>
                </c:pt>
                <c:pt idx="12">
                  <c:v>0.80687719112291556</c:v>
                </c:pt>
                <c:pt idx="13">
                  <c:v>0.65118339057255836</c:v>
                </c:pt>
                <c:pt idx="14">
                  <c:v>0.4612814938507932</c:v>
                </c:pt>
                <c:pt idx="15">
                  <c:v>0.247147465392664</c:v>
                </c:pt>
                <c:pt idx="16">
                  <c:v>2.0030236831431153E-2</c:v>
                </c:pt>
                <c:pt idx="17">
                  <c:v>-0.20813922414073857</c:v>
                </c:pt>
                <c:pt idx="18">
                  <c:v>-0.42537467374442339</c:v>
                </c:pt>
                <c:pt idx="19">
                  <c:v>-0.62026425586851341</c:v>
                </c:pt>
                <c:pt idx="20">
                  <c:v>-0.78256999199219979</c:v>
                </c:pt>
                <c:pt idx="21">
                  <c:v>-0.90376560470981748</c:v>
                </c:pt>
                <c:pt idx="22">
                  <c:v>-0.97748442184166584</c:v>
                </c:pt>
                <c:pt idx="23">
                  <c:v>-0.99985383173658737</c:v>
                </c:pt>
                <c:pt idx="24">
                  <c:v>-0.96969872007675728</c:v>
                </c:pt>
                <c:pt idx="25">
                  <c:v>-0.88860320122307945</c:v>
                </c:pt>
                <c:pt idx="26">
                  <c:v>-0.76082740119863523</c:v>
                </c:pt>
                <c:pt idx="27">
                  <c:v>-0.59308366389600731</c:v>
                </c:pt>
                <c:pt idx="28">
                  <c:v>-0.39418393689032771</c:v>
                </c:pt>
                <c:pt idx="29">
                  <c:v>-0.17457686043452625</c:v>
                </c:pt>
                <c:pt idx="30">
                  <c:v>5.4201122583866508E-2</c:v>
                </c:pt>
                <c:pt idx="31">
                  <c:v>0.28013180138357635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'Изменение биоритмов человека'!$D$6</c:f>
              <c:strCache>
                <c:ptCount val="1"/>
                <c:pt idx="0">
                  <c:v>эмоциональной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'Изменение биоритмов человека'!$A$7:$A$38</c:f>
              <c:numCache>
                <c:formatCode>m/d/yyyy</c:formatCode>
                <c:ptCount val="32"/>
                <c:pt idx="0">
                  <c:v>46174</c:v>
                </c:pt>
                <c:pt idx="1">
                  <c:v>46175</c:v>
                </c:pt>
                <c:pt idx="2">
                  <c:v>46176</c:v>
                </c:pt>
                <c:pt idx="3">
                  <c:v>46177</c:v>
                </c:pt>
                <c:pt idx="4">
                  <c:v>46178</c:v>
                </c:pt>
                <c:pt idx="5">
                  <c:v>46179</c:v>
                </c:pt>
                <c:pt idx="6">
                  <c:v>46180</c:v>
                </c:pt>
                <c:pt idx="7">
                  <c:v>46181</c:v>
                </c:pt>
                <c:pt idx="8">
                  <c:v>46182</c:v>
                </c:pt>
                <c:pt idx="9">
                  <c:v>46183</c:v>
                </c:pt>
                <c:pt idx="10">
                  <c:v>46184</c:v>
                </c:pt>
                <c:pt idx="11">
                  <c:v>46185</c:v>
                </c:pt>
                <c:pt idx="12">
                  <c:v>46186</c:v>
                </c:pt>
                <c:pt idx="13">
                  <c:v>46187</c:v>
                </c:pt>
                <c:pt idx="14">
                  <c:v>46188</c:v>
                </c:pt>
                <c:pt idx="15">
                  <c:v>46189</c:v>
                </c:pt>
                <c:pt idx="16">
                  <c:v>46190</c:v>
                </c:pt>
                <c:pt idx="17">
                  <c:v>46191</c:v>
                </c:pt>
                <c:pt idx="18">
                  <c:v>46192</c:v>
                </c:pt>
                <c:pt idx="19">
                  <c:v>46193</c:v>
                </c:pt>
                <c:pt idx="20">
                  <c:v>46194</c:v>
                </c:pt>
                <c:pt idx="21">
                  <c:v>46195</c:v>
                </c:pt>
                <c:pt idx="22">
                  <c:v>46196</c:v>
                </c:pt>
                <c:pt idx="23">
                  <c:v>46197</c:v>
                </c:pt>
                <c:pt idx="24">
                  <c:v>46198</c:v>
                </c:pt>
                <c:pt idx="25">
                  <c:v>46199</c:v>
                </c:pt>
                <c:pt idx="26">
                  <c:v>46200</c:v>
                </c:pt>
                <c:pt idx="27">
                  <c:v>46201</c:v>
                </c:pt>
                <c:pt idx="28">
                  <c:v>46202</c:v>
                </c:pt>
                <c:pt idx="29">
                  <c:v>46203</c:v>
                </c:pt>
                <c:pt idx="30">
                  <c:v>46204</c:v>
                </c:pt>
                <c:pt idx="31">
                  <c:v>46205</c:v>
                </c:pt>
              </c:numCache>
            </c:numRef>
          </c:cat>
          <c:val>
            <c:numRef>
              <c:f>'Изменение биоритмов человека'!$D$7:$D$38</c:f>
              <c:numCache>
                <c:formatCode>0.00</c:formatCode>
                <c:ptCount val="32"/>
                <c:pt idx="0">
                  <c:v>0.62818870050726971</c:v>
                </c:pt>
                <c:pt idx="1">
                  <c:v>0.47110039354450584</c:v>
                </c:pt>
                <c:pt idx="2">
                  <c:v>0.29728962424790423</c:v>
                </c:pt>
                <c:pt idx="3">
                  <c:v>0.11292608400667616</c:v>
                </c:pt>
                <c:pt idx="4">
                  <c:v>-7.5445948291718232E-2</c:v>
                </c:pt>
                <c:pt idx="5">
                  <c:v>-0.26113990592504333</c:v>
                </c:pt>
                <c:pt idx="6">
                  <c:v>-0.43756428471508418</c:v>
                </c:pt>
                <c:pt idx="7">
                  <c:v>-0.59845661901953251</c:v>
                </c:pt>
                <c:pt idx="8">
                  <c:v>-0.73810577796530419</c:v>
                </c:pt>
                <c:pt idx="9">
                  <c:v>-0.85155469118820293</c:v>
                </c:pt>
                <c:pt idx="10">
                  <c:v>-0.93477630796747091</c:v>
                </c:pt>
                <c:pt idx="11">
                  <c:v>-0.98481654384348538</c:v>
                </c:pt>
                <c:pt idx="12">
                  <c:v>-0.99989914056818996</c:v>
                </c:pt>
                <c:pt idx="13">
                  <c:v>-0.97948871723501063</c:v>
                </c:pt>
                <c:pt idx="14">
                  <c:v>-0.92430977448173357</c:v>
                </c:pt>
                <c:pt idx="15">
                  <c:v>-0.83632097717908538</c:v>
                </c:pt>
                <c:pt idx="16">
                  <c:v>-0.71864562849084379</c:v>
                </c:pt>
                <c:pt idx="17">
                  <c:v>-0.57546080322497961</c:v>
                </c:pt>
                <c:pt idx="18">
                  <c:v>-0.41184907588051223</c:v>
                </c:pt>
                <c:pt idx="19">
                  <c:v>-0.233618106538173</c:v>
                </c:pt>
                <c:pt idx="20">
                  <c:v>-4.7094488662844047E-2</c:v>
                </c:pt>
                <c:pt idx="21">
                  <c:v>0.14110082345112784</c:v>
                </c:pt>
                <c:pt idx="22">
                  <c:v>0.32428753604189059</c:v>
                </c:pt>
                <c:pt idx="23">
                  <c:v>0.49596314360798688</c:v>
                </c:pt>
                <c:pt idx="24">
                  <c:v>0.65003374574072736</c:v>
                </c:pt>
                <c:pt idx="25">
                  <c:v>0.78103035986689673</c:v>
                </c:pt>
                <c:pt idx="26">
                  <c:v>0.88430305154567512</c:v>
                </c:pt>
                <c:pt idx="27">
                  <c:v>0.95618599132696547</c:v>
                </c:pt>
                <c:pt idx="28">
                  <c:v>0.99412757923300787</c:v>
                </c:pt>
                <c:pt idx="29">
                  <c:v>0.99678101788672235</c:v>
                </c:pt>
                <c:pt idx="30">
                  <c:v>0.96405211923694689</c:v>
                </c:pt>
                <c:pt idx="31">
                  <c:v>0.89710264791503724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'Изменение биоритмов человека'!$E$6</c:f>
              <c:strCache>
                <c:ptCount val="1"/>
                <c:pt idx="0">
                  <c:v>интелектуальной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'Изменение биоритмов человека'!$A$7:$A$38</c:f>
              <c:numCache>
                <c:formatCode>m/d/yyyy</c:formatCode>
                <c:ptCount val="32"/>
                <c:pt idx="0">
                  <c:v>46174</c:v>
                </c:pt>
                <c:pt idx="1">
                  <c:v>46175</c:v>
                </c:pt>
                <c:pt idx="2">
                  <c:v>46176</c:v>
                </c:pt>
                <c:pt idx="3">
                  <c:v>46177</c:v>
                </c:pt>
                <c:pt idx="4">
                  <c:v>46178</c:v>
                </c:pt>
                <c:pt idx="5">
                  <c:v>46179</c:v>
                </c:pt>
                <c:pt idx="6">
                  <c:v>46180</c:v>
                </c:pt>
                <c:pt idx="7">
                  <c:v>46181</c:v>
                </c:pt>
                <c:pt idx="8">
                  <c:v>46182</c:v>
                </c:pt>
                <c:pt idx="9">
                  <c:v>46183</c:v>
                </c:pt>
                <c:pt idx="10">
                  <c:v>46184</c:v>
                </c:pt>
                <c:pt idx="11">
                  <c:v>46185</c:v>
                </c:pt>
                <c:pt idx="12">
                  <c:v>46186</c:v>
                </c:pt>
                <c:pt idx="13">
                  <c:v>46187</c:v>
                </c:pt>
                <c:pt idx="14">
                  <c:v>46188</c:v>
                </c:pt>
                <c:pt idx="15">
                  <c:v>46189</c:v>
                </c:pt>
                <c:pt idx="16">
                  <c:v>46190</c:v>
                </c:pt>
                <c:pt idx="17">
                  <c:v>46191</c:v>
                </c:pt>
                <c:pt idx="18">
                  <c:v>46192</c:v>
                </c:pt>
                <c:pt idx="19">
                  <c:v>46193</c:v>
                </c:pt>
                <c:pt idx="20">
                  <c:v>46194</c:v>
                </c:pt>
                <c:pt idx="21">
                  <c:v>46195</c:v>
                </c:pt>
                <c:pt idx="22">
                  <c:v>46196</c:v>
                </c:pt>
                <c:pt idx="23">
                  <c:v>46197</c:v>
                </c:pt>
                <c:pt idx="24">
                  <c:v>46198</c:v>
                </c:pt>
                <c:pt idx="25">
                  <c:v>46199</c:v>
                </c:pt>
                <c:pt idx="26">
                  <c:v>46200</c:v>
                </c:pt>
                <c:pt idx="27">
                  <c:v>46201</c:v>
                </c:pt>
                <c:pt idx="28">
                  <c:v>46202</c:v>
                </c:pt>
                <c:pt idx="29">
                  <c:v>46203</c:v>
                </c:pt>
                <c:pt idx="30">
                  <c:v>46204</c:v>
                </c:pt>
                <c:pt idx="31">
                  <c:v>46205</c:v>
                </c:pt>
              </c:numCache>
            </c:numRef>
          </c:cat>
          <c:val>
            <c:numRef>
              <c:f>'Изменение биоритмов человека'!$E$7:$E$38</c:f>
              <c:numCache>
                <c:formatCode>0.00</c:formatCode>
                <c:ptCount val="32"/>
                <c:pt idx="0">
                  <c:v>0.53633344954541018</c:v>
                </c:pt>
                <c:pt idx="1">
                  <c:v>0.66402074105397657</c:v>
                </c:pt>
                <c:pt idx="2">
                  <c:v>0.77472490617723277</c:v>
                </c:pt>
                <c:pt idx="3">
                  <c:v>0.86561455319766278</c:v>
                </c:pt>
                <c:pt idx="4">
                  <c:v>0.93436507044745232</c:v>
                </c:pt>
                <c:pt idx="5">
                  <c:v>0.97921808103946584</c:v>
                </c:pt>
                <c:pt idx="6">
                  <c:v>0.99902641546557536</c:v>
                </c:pt>
                <c:pt idx="7">
                  <c:v>0.9932834518286292</c:v>
                </c:pt>
                <c:pt idx="8">
                  <c:v>0.96213607330760054</c:v>
                </c:pt>
                <c:pt idx="9">
                  <c:v>0.90638091144318422</c:v>
                </c:pt>
                <c:pt idx="10">
                  <c:v>0.8274439713312276</c:v>
                </c:pt>
                <c:pt idx="11">
                  <c:v>0.727344159833197</c:v>
                </c:pt>
                <c:pt idx="12">
                  <c:v>0.60864164961178113</c:v>
                </c:pt>
                <c:pt idx="13">
                  <c:v>0.47437239965185901</c:v>
                </c:pt>
                <c:pt idx="14">
                  <c:v>0.32797050696232194</c:v>
                </c:pt>
                <c:pt idx="15">
                  <c:v>0.17318037543396361</c:v>
                </c:pt>
                <c:pt idx="16">
                  <c:v>1.3960948220479177E-2</c:v>
                </c:pt>
                <c:pt idx="17">
                  <c:v>-0.14561554697809467</c:v>
                </c:pt>
                <c:pt idx="18">
                  <c:v>-0.30146775002173598</c:v>
                </c:pt>
                <c:pt idx="19">
                  <c:v>-0.44960955400115554</c:v>
                </c:pt>
                <c:pt idx="20">
                  <c:v>-0.58625205471056829</c:v>
                </c:pt>
                <c:pt idx="21">
                  <c:v>-0.70790045640720956</c:v>
                </c:pt>
                <c:pt idx="22">
                  <c:v>-0.81144345540330709</c:v>
                </c:pt>
                <c:pt idx="23">
                  <c:v>-0.89423281538727462</c:v>
                </c:pt>
                <c:pt idx="24">
                  <c:v>-0.95415109924224362</c:v>
                </c:pt>
                <c:pt idx="25">
                  <c:v>-0.9896658250359559</c:v>
                </c:pt>
                <c:pt idx="26">
                  <c:v>-0.99986866108717254</c:v>
                </c:pt>
                <c:pt idx="27">
                  <c:v>-0.98449865763421029</c:v>
                </c:pt>
                <c:pt idx="28">
                  <c:v>-0.94394892093869942</c:v>
                </c:pt>
                <c:pt idx="29">
                  <c:v>-0.87925655912087763</c:v>
                </c:pt>
                <c:pt idx="30">
                  <c:v>-0.79207615687948063</c:v>
                </c:pt>
                <c:pt idx="31">
                  <c:v>-0.68463745750039595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9918288"/>
        <c:axId val="589913936"/>
      </c:lineChart>
      <c:dateAx>
        <c:axId val="58991828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89913936"/>
        <c:crosses val="autoZero"/>
        <c:auto val="1"/>
        <c:lblOffset val="100"/>
        <c:baseTimeUnit val="days"/>
      </c:dateAx>
      <c:valAx>
        <c:axId val="589913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89918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Магазин!$B$2:$G$2</c:f>
              <c:strCache>
                <c:ptCount val="6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</c:strCache>
            </c:strRef>
          </c:cat>
          <c:val>
            <c:numRef>
              <c:f>Магазин!$B$3:$G$3</c:f>
              <c:numCache>
                <c:formatCode>#,##0</c:formatCode>
                <c:ptCount val="6"/>
                <c:pt idx="0">
                  <c:v>95780</c:v>
                </c:pt>
                <c:pt idx="1">
                  <c:v>86982</c:v>
                </c:pt>
                <c:pt idx="2">
                  <c:v>91653</c:v>
                </c:pt>
                <c:pt idx="3">
                  <c:v>95780</c:v>
                </c:pt>
                <c:pt idx="4">
                  <c:v>88440</c:v>
                </c:pt>
                <c:pt idx="5">
                  <c:v>85700</c:v>
                </c:pt>
              </c:numCache>
            </c:numRef>
          </c:val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Магазин!$B$2:$G$2</c:f>
              <c:strCache>
                <c:ptCount val="6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</c:strCache>
            </c:strRef>
          </c:cat>
          <c:val>
            <c:numRef>
              <c:f>Магазин!$B$4:$G$4</c:f>
              <c:numCache>
                <c:formatCode>#,##0</c:formatCode>
                <c:ptCount val="6"/>
                <c:pt idx="0">
                  <c:v>77894</c:v>
                </c:pt>
                <c:pt idx="1">
                  <c:v>84560</c:v>
                </c:pt>
                <c:pt idx="2">
                  <c:v>80080</c:v>
                </c:pt>
                <c:pt idx="3">
                  <c:v>81200</c:v>
                </c:pt>
                <c:pt idx="4">
                  <c:v>80150</c:v>
                </c:pt>
                <c:pt idx="5">
                  <c:v>91400</c:v>
                </c:pt>
              </c:numCache>
            </c:numRef>
          </c:val>
        </c:ser>
        <c:ser>
          <c:idx val="2"/>
          <c:order val="2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Магазин!$B$2:$G$2</c:f>
              <c:strCache>
                <c:ptCount val="6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</c:strCache>
            </c:strRef>
          </c:cat>
          <c:val>
            <c:numRef>
              <c:f>Магазин!$B$5:$G$5</c:f>
              <c:numCache>
                <c:formatCode>#,##0</c:formatCode>
                <c:ptCount val="6"/>
                <c:pt idx="0">
                  <c:v>34600</c:v>
                </c:pt>
                <c:pt idx="1">
                  <c:v>42567</c:v>
                </c:pt>
                <c:pt idx="2">
                  <c:v>40870</c:v>
                </c:pt>
                <c:pt idx="3">
                  <c:v>39845</c:v>
                </c:pt>
                <c:pt idx="4">
                  <c:v>40500</c:v>
                </c:pt>
                <c:pt idx="5">
                  <c:v>43800</c:v>
                </c:pt>
              </c:numCache>
            </c:numRef>
          </c:val>
        </c:ser>
        <c:ser>
          <c:idx val="3"/>
          <c:order val="3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Магазин!$B$2:$G$2</c:f>
              <c:strCache>
                <c:ptCount val="6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</c:strCache>
            </c:strRef>
          </c:cat>
          <c:val>
            <c:numRef>
              <c:f>Магазин!$B$6:$G$6</c:f>
              <c:numCache>
                <c:formatCode>#,##0</c:formatCode>
                <c:ptCount val="6"/>
                <c:pt idx="0">
                  <c:v>40000</c:v>
                </c:pt>
                <c:pt idx="1">
                  <c:v>35000</c:v>
                </c:pt>
                <c:pt idx="2">
                  <c:v>44000</c:v>
                </c:pt>
                <c:pt idx="3">
                  <c:v>42350</c:v>
                </c:pt>
                <c:pt idx="4">
                  <c:v>27500</c:v>
                </c:pt>
                <c:pt idx="5">
                  <c:v>39800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8283</xdr:colOff>
      <xdr:row>0</xdr:row>
      <xdr:rowOff>0</xdr:rowOff>
    </xdr:from>
    <xdr:to>
      <xdr:col>13</xdr:col>
      <xdr:colOff>289891</xdr:colOff>
      <xdr:row>11</xdr:row>
      <xdr:rowOff>78685</xdr:rowOff>
    </xdr:to>
    <xdr:graphicFrame macro="">
      <xdr:nvGraphicFramePr>
        <xdr:cNvPr id="8" name="Диаграмма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0</xdr:row>
      <xdr:rowOff>171450</xdr:rowOff>
    </xdr:from>
    <xdr:to>
      <xdr:col>11</xdr:col>
      <xdr:colOff>314325</xdr:colOff>
      <xdr:row>14</xdr:row>
      <xdr:rowOff>47625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0</xdr:row>
      <xdr:rowOff>0</xdr:rowOff>
    </xdr:from>
    <xdr:to>
      <xdr:col>12</xdr:col>
      <xdr:colOff>314325</xdr:colOff>
      <xdr:row>14</xdr:row>
      <xdr:rowOff>76200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</xdr:colOff>
      <xdr:row>0</xdr:row>
      <xdr:rowOff>19050</xdr:rowOff>
    </xdr:from>
    <xdr:to>
      <xdr:col>9</xdr:col>
      <xdr:colOff>323850</xdr:colOff>
      <xdr:row>14</xdr:row>
      <xdr:rowOff>95250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20009</xdr:colOff>
      <xdr:row>1</xdr:row>
      <xdr:rowOff>2720</xdr:rowOff>
    </xdr:from>
    <xdr:to>
      <xdr:col>16</xdr:col>
      <xdr:colOff>123265</xdr:colOff>
      <xdr:row>20</xdr:row>
      <xdr:rowOff>178492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52387</xdr:rowOff>
    </xdr:from>
    <xdr:to>
      <xdr:col>6</xdr:col>
      <xdr:colOff>57150</xdr:colOff>
      <xdr:row>20</xdr:row>
      <xdr:rowOff>128587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zoomScale="115" zoomScaleNormal="115" workbookViewId="0">
      <selection activeCell="F14" sqref="F14"/>
    </sheetView>
  </sheetViews>
  <sheetFormatPr defaultRowHeight="15" x14ac:dyDescent="0.25"/>
  <cols>
    <col min="1" max="1" width="23.140625" customWidth="1"/>
    <col min="2" max="2" width="13.28515625" customWidth="1"/>
    <col min="3" max="3" width="11.140625" customWidth="1"/>
    <col min="4" max="4" width="14.28515625" customWidth="1"/>
    <col min="5" max="5" width="16.5703125" customWidth="1"/>
    <col min="6" max="6" width="12" customWidth="1"/>
  </cols>
  <sheetData>
    <row r="1" spans="1:6" ht="31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3" t="s">
        <v>15</v>
      </c>
      <c r="F1" s="1" t="s">
        <v>4</v>
      </c>
    </row>
    <row r="2" spans="1:6" x14ac:dyDescent="0.25">
      <c r="A2" s="1" t="s">
        <v>5</v>
      </c>
      <c r="B2" s="1">
        <v>40</v>
      </c>
      <c r="C2" s="1">
        <v>70</v>
      </c>
      <c r="D2" s="1">
        <v>40</v>
      </c>
      <c r="E2" s="2">
        <f>AVERAGE(B2:D2)</f>
        <v>50</v>
      </c>
      <c r="F2" s="1" t="str">
        <f>IF(E2&gt;60,"проход","непроход")</f>
        <v>непроход</v>
      </c>
    </row>
    <row r="3" spans="1:6" x14ac:dyDescent="0.25">
      <c r="A3" s="1" t="s">
        <v>6</v>
      </c>
      <c r="B3" s="1">
        <v>60</v>
      </c>
      <c r="C3" s="1">
        <v>50</v>
      </c>
      <c r="D3" s="1">
        <v>60</v>
      </c>
      <c r="E3" s="2">
        <f t="shared" ref="E3:E11" si="0">AVERAGE(B3:D3)</f>
        <v>56.666666666666664</v>
      </c>
      <c r="F3" s="1" t="str">
        <f t="shared" ref="F3:F11" si="1">IF(E3&gt;60,"проход","непроход")</f>
        <v>непроход</v>
      </c>
    </row>
    <row r="4" spans="1:6" x14ac:dyDescent="0.25">
      <c r="A4" s="1" t="s">
        <v>7</v>
      </c>
      <c r="B4" s="1">
        <v>60</v>
      </c>
      <c r="C4" s="1">
        <v>70</v>
      </c>
      <c r="D4" s="1">
        <v>60</v>
      </c>
      <c r="E4" s="2">
        <f t="shared" si="0"/>
        <v>63.333333333333336</v>
      </c>
      <c r="F4" s="1" t="str">
        <f t="shared" si="1"/>
        <v>проход</v>
      </c>
    </row>
    <row r="5" spans="1:6" x14ac:dyDescent="0.25">
      <c r="A5" s="1" t="s">
        <v>8</v>
      </c>
      <c r="B5" s="1">
        <v>70</v>
      </c>
      <c r="C5" s="1">
        <v>60</v>
      </c>
      <c r="D5" s="1">
        <v>70</v>
      </c>
      <c r="E5" s="2">
        <f t="shared" si="0"/>
        <v>66.666666666666671</v>
      </c>
      <c r="F5" s="1" t="str">
        <f t="shared" si="1"/>
        <v>проход</v>
      </c>
    </row>
    <row r="6" spans="1:6" x14ac:dyDescent="0.25">
      <c r="A6" s="1" t="s">
        <v>9</v>
      </c>
      <c r="B6" s="1">
        <v>50</v>
      </c>
      <c r="C6" s="1">
        <v>40</v>
      </c>
      <c r="D6" s="1">
        <v>50</v>
      </c>
      <c r="E6" s="2">
        <f t="shared" si="0"/>
        <v>46.666666666666664</v>
      </c>
      <c r="F6" s="1" t="str">
        <f t="shared" si="1"/>
        <v>непроход</v>
      </c>
    </row>
    <row r="7" spans="1:6" x14ac:dyDescent="0.25">
      <c r="A7" s="1" t="s">
        <v>10</v>
      </c>
      <c r="B7" s="1">
        <v>50</v>
      </c>
      <c r="C7" s="1">
        <v>70</v>
      </c>
      <c r="D7" s="1">
        <v>30</v>
      </c>
      <c r="E7" s="2">
        <f t="shared" si="0"/>
        <v>50</v>
      </c>
      <c r="F7" s="1" t="str">
        <f t="shared" si="1"/>
        <v>непроход</v>
      </c>
    </row>
    <row r="8" spans="1:6" x14ac:dyDescent="0.25">
      <c r="A8" s="1" t="s">
        <v>11</v>
      </c>
      <c r="B8" s="1">
        <v>70</v>
      </c>
      <c r="C8" s="1">
        <v>70</v>
      </c>
      <c r="D8" s="1">
        <v>50</v>
      </c>
      <c r="E8" s="2">
        <f t="shared" si="0"/>
        <v>63.333333333333336</v>
      </c>
      <c r="F8" s="1" t="str">
        <f t="shared" si="1"/>
        <v>проход</v>
      </c>
    </row>
    <row r="9" spans="1:6" x14ac:dyDescent="0.25">
      <c r="A9" s="1" t="s">
        <v>12</v>
      </c>
      <c r="B9" s="1">
        <v>70</v>
      </c>
      <c r="C9" s="1">
        <v>60</v>
      </c>
      <c r="D9" s="1">
        <v>70</v>
      </c>
      <c r="E9" s="2">
        <f t="shared" si="0"/>
        <v>66.666666666666671</v>
      </c>
      <c r="F9" s="1" t="str">
        <f t="shared" si="1"/>
        <v>проход</v>
      </c>
    </row>
    <row r="10" spans="1:6" x14ac:dyDescent="0.25">
      <c r="A10" s="1" t="s">
        <v>13</v>
      </c>
      <c r="B10" s="1">
        <v>70</v>
      </c>
      <c r="C10" s="1">
        <v>30</v>
      </c>
      <c r="D10" s="1">
        <v>40</v>
      </c>
      <c r="E10" s="2">
        <f t="shared" si="0"/>
        <v>46.666666666666664</v>
      </c>
      <c r="F10" s="1" t="str">
        <f t="shared" si="1"/>
        <v>непроход</v>
      </c>
    </row>
    <row r="11" spans="1:6" x14ac:dyDescent="0.25">
      <c r="A11" s="1" t="s">
        <v>14</v>
      </c>
      <c r="B11" s="1">
        <v>70</v>
      </c>
      <c r="C11" s="1">
        <v>40</v>
      </c>
      <c r="D11" s="1">
        <v>60</v>
      </c>
      <c r="E11" s="2">
        <f t="shared" si="0"/>
        <v>56.666666666666664</v>
      </c>
      <c r="F11" s="1" t="str">
        <f t="shared" si="1"/>
        <v>непроход</v>
      </c>
    </row>
    <row r="12" spans="1:6" ht="28.5" customHeight="1" x14ac:dyDescent="0.25">
      <c r="A12" s="4" t="s">
        <v>16</v>
      </c>
      <c r="B12" s="2">
        <f>AVERAGE(B2:B11)</f>
        <v>61</v>
      </c>
      <c r="C12" s="2">
        <f t="shared" ref="C12:D12" si="2">AVERAGE(C2:C11)</f>
        <v>56</v>
      </c>
      <c r="D12" s="2">
        <f t="shared" si="2"/>
        <v>53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workbookViewId="0">
      <selection activeCell="I15" sqref="I15"/>
    </sheetView>
  </sheetViews>
  <sheetFormatPr defaultRowHeight="15" x14ac:dyDescent="0.25"/>
  <cols>
    <col min="1" max="1" width="7" customWidth="1"/>
    <col min="2" max="2" width="15.5703125" customWidth="1"/>
    <col min="3" max="3" width="12.42578125" customWidth="1"/>
    <col min="5" max="5" width="15.28515625" customWidth="1"/>
    <col min="7" max="7" width="12.7109375" customWidth="1"/>
  </cols>
  <sheetData>
    <row r="1" spans="1:8" x14ac:dyDescent="0.25">
      <c r="A1" s="139" t="s">
        <v>66</v>
      </c>
      <c r="B1" s="139"/>
      <c r="C1" s="139"/>
      <c r="D1" s="139"/>
      <c r="E1" s="139"/>
      <c r="F1" s="139"/>
      <c r="G1" s="139"/>
    </row>
    <row r="2" spans="1:8" x14ac:dyDescent="0.25">
      <c r="A2" s="35"/>
      <c r="B2" s="33" t="s">
        <v>67</v>
      </c>
      <c r="C2" s="43">
        <v>13</v>
      </c>
      <c r="D2" s="35"/>
      <c r="E2" s="35"/>
      <c r="F2" s="35"/>
      <c r="G2" s="35"/>
    </row>
    <row r="3" spans="1:8" x14ac:dyDescent="0.25">
      <c r="A3" s="34" t="s">
        <v>68</v>
      </c>
      <c r="B3" s="34" t="s">
        <v>69</v>
      </c>
      <c r="C3" s="34" t="s">
        <v>1</v>
      </c>
      <c r="D3" s="34" t="s">
        <v>2</v>
      </c>
      <c r="E3" s="34" t="s">
        <v>70</v>
      </c>
      <c r="F3" s="34" t="s">
        <v>33</v>
      </c>
      <c r="G3" s="34" t="s">
        <v>71</v>
      </c>
    </row>
    <row r="4" spans="1:8" x14ac:dyDescent="0.25">
      <c r="A4" s="34">
        <v>1</v>
      </c>
      <c r="B4" s="34" t="s">
        <v>72</v>
      </c>
      <c r="C4" s="34">
        <v>4</v>
      </c>
      <c r="D4" s="34">
        <v>4</v>
      </c>
      <c r="E4" s="34">
        <v>5</v>
      </c>
      <c r="F4" s="34">
        <f>SUM(C4:E4)</f>
        <v>13</v>
      </c>
      <c r="G4" s="34" t="str">
        <f>IF(F4&gt;=$C$2,"зачислен","незачислен")</f>
        <v>зачислен</v>
      </c>
    </row>
    <row r="5" spans="1:8" x14ac:dyDescent="0.25">
      <c r="A5" s="34">
        <v>2</v>
      </c>
      <c r="B5" s="34" t="s">
        <v>73</v>
      </c>
      <c r="C5" s="34">
        <v>3</v>
      </c>
      <c r="D5" s="34">
        <v>3</v>
      </c>
      <c r="E5" s="34">
        <v>4</v>
      </c>
      <c r="F5" s="34">
        <f t="shared" ref="F5:F10" si="0">SUM(C5:E5)</f>
        <v>10</v>
      </c>
      <c r="G5" s="34" t="str">
        <f t="shared" ref="G5:G10" si="1">IF(F5&gt;=$C$2,"зачислен","незачислен")</f>
        <v>незачислен</v>
      </c>
    </row>
    <row r="6" spans="1:8" x14ac:dyDescent="0.25">
      <c r="A6" s="34">
        <v>3</v>
      </c>
      <c r="B6" s="34" t="s">
        <v>74</v>
      </c>
      <c r="C6" s="34">
        <v>5</v>
      </c>
      <c r="D6" s="34">
        <v>4</v>
      </c>
      <c r="E6" s="34">
        <v>3</v>
      </c>
      <c r="F6" s="34">
        <f t="shared" si="0"/>
        <v>12</v>
      </c>
      <c r="G6" s="34" t="str">
        <f t="shared" si="1"/>
        <v>незачислен</v>
      </c>
    </row>
    <row r="7" spans="1:8" x14ac:dyDescent="0.25">
      <c r="A7" s="34">
        <v>4</v>
      </c>
      <c r="B7" s="34" t="s">
        <v>75</v>
      </c>
      <c r="C7" s="34">
        <v>5</v>
      </c>
      <c r="D7" s="34">
        <v>5</v>
      </c>
      <c r="E7" s="34">
        <v>4</v>
      </c>
      <c r="F7" s="34">
        <f t="shared" si="0"/>
        <v>14</v>
      </c>
      <c r="G7" s="34" t="str">
        <f t="shared" si="1"/>
        <v>зачислен</v>
      </c>
    </row>
    <row r="8" spans="1:8" x14ac:dyDescent="0.25">
      <c r="A8" s="34">
        <v>5</v>
      </c>
      <c r="B8" s="34" t="s">
        <v>76</v>
      </c>
      <c r="C8" s="34">
        <v>3</v>
      </c>
      <c r="D8" s="34">
        <v>5</v>
      </c>
      <c r="E8" s="34">
        <v>5</v>
      </c>
      <c r="F8" s="34">
        <f t="shared" si="0"/>
        <v>13</v>
      </c>
      <c r="G8" s="34" t="str">
        <f t="shared" si="1"/>
        <v>зачислен</v>
      </c>
    </row>
    <row r="9" spans="1:8" x14ac:dyDescent="0.25">
      <c r="A9" s="34">
        <v>6</v>
      </c>
      <c r="B9" s="34" t="s">
        <v>77</v>
      </c>
      <c r="C9" s="34">
        <v>4</v>
      </c>
      <c r="D9" s="34">
        <v>4</v>
      </c>
      <c r="E9" s="34">
        <v>4</v>
      </c>
      <c r="F9" s="34">
        <f t="shared" si="0"/>
        <v>12</v>
      </c>
      <c r="G9" s="34" t="str">
        <f t="shared" si="1"/>
        <v>незачислен</v>
      </c>
    </row>
    <row r="10" spans="1:8" x14ac:dyDescent="0.25">
      <c r="A10" s="34">
        <v>7</v>
      </c>
      <c r="B10" s="34" t="s">
        <v>78</v>
      </c>
      <c r="C10" s="34">
        <v>5</v>
      </c>
      <c r="D10" s="34">
        <v>3</v>
      </c>
      <c r="E10" s="34">
        <v>5</v>
      </c>
      <c r="F10" s="34">
        <f t="shared" si="0"/>
        <v>13</v>
      </c>
      <c r="G10" s="34" t="str">
        <f t="shared" si="1"/>
        <v>зачислен</v>
      </c>
      <c r="H10" s="24"/>
    </row>
    <row r="11" spans="1:8" x14ac:dyDescent="0.25">
      <c r="F11" s="44"/>
      <c r="G11" s="45"/>
      <c r="H11" s="24"/>
    </row>
    <row r="12" spans="1:8" x14ac:dyDescent="0.25">
      <c r="G12" s="24"/>
    </row>
  </sheetData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selection activeCell="I11" sqref="I11"/>
    </sheetView>
  </sheetViews>
  <sheetFormatPr defaultRowHeight="15" x14ac:dyDescent="0.25"/>
  <cols>
    <col min="2" max="2" width="22" customWidth="1"/>
    <col min="3" max="3" width="11.7109375" customWidth="1"/>
    <col min="4" max="4" width="15" customWidth="1"/>
    <col min="5" max="5" width="11.5703125" customWidth="1"/>
  </cols>
  <sheetData>
    <row r="1" spans="1:6" x14ac:dyDescent="0.25">
      <c r="A1" s="140" t="s">
        <v>29</v>
      </c>
      <c r="B1" s="140"/>
      <c r="C1" s="140"/>
      <c r="D1" s="140"/>
      <c r="E1" s="140"/>
    </row>
    <row r="2" spans="1:6" x14ac:dyDescent="0.25">
      <c r="A2" s="7" t="s">
        <v>27</v>
      </c>
      <c r="B2" s="1" t="s">
        <v>30</v>
      </c>
      <c r="C2" s="1" t="s">
        <v>31</v>
      </c>
      <c r="D2" s="1" t="s">
        <v>32</v>
      </c>
      <c r="E2" s="1" t="s">
        <v>33</v>
      </c>
    </row>
    <row r="3" spans="1:6" x14ac:dyDescent="0.25">
      <c r="A3" s="9">
        <v>1</v>
      </c>
      <c r="B3" s="5" t="s">
        <v>38</v>
      </c>
      <c r="C3" s="25">
        <v>9800</v>
      </c>
      <c r="D3" s="26">
        <f>C3*'Налог с продаж'!$C$1</f>
        <v>490</v>
      </c>
      <c r="E3" s="26">
        <f>SUM(C3:D3)</f>
        <v>10290</v>
      </c>
    </row>
    <row r="4" spans="1:6" x14ac:dyDescent="0.25">
      <c r="A4" s="9">
        <v>2</v>
      </c>
      <c r="B4" s="5" t="s">
        <v>36</v>
      </c>
      <c r="C4" s="25">
        <v>5400</v>
      </c>
      <c r="D4" s="26">
        <f>C4*'Налог с продаж'!$C$1</f>
        <v>270</v>
      </c>
      <c r="E4" s="26">
        <f t="shared" ref="E4:E7" si="0">SUM(C4:D4)</f>
        <v>5670</v>
      </c>
    </row>
    <row r="5" spans="1:6" x14ac:dyDescent="0.25">
      <c r="A5" s="9">
        <v>3</v>
      </c>
      <c r="B5" s="5" t="s">
        <v>40</v>
      </c>
      <c r="C5" s="25">
        <v>3750</v>
      </c>
      <c r="D5" s="26">
        <f>C5*'Налог с продаж'!$C$1</f>
        <v>187.5</v>
      </c>
      <c r="E5" s="26">
        <f t="shared" si="0"/>
        <v>3937.5</v>
      </c>
    </row>
    <row r="6" spans="1:6" x14ac:dyDescent="0.25">
      <c r="A6" s="9">
        <v>4</v>
      </c>
      <c r="B6" s="5" t="s">
        <v>37</v>
      </c>
      <c r="C6" s="25">
        <v>2850</v>
      </c>
      <c r="D6" s="26">
        <f>C6*'Налог с продаж'!$C$1</f>
        <v>142.5</v>
      </c>
      <c r="E6" s="26">
        <f t="shared" si="0"/>
        <v>2992.5</v>
      </c>
    </row>
    <row r="7" spans="1:6" x14ac:dyDescent="0.25">
      <c r="A7" s="9">
        <v>5</v>
      </c>
      <c r="B7" s="5" t="s">
        <v>39</v>
      </c>
      <c r="C7" s="25">
        <v>2800</v>
      </c>
      <c r="D7" s="30">
        <f>C7*'Налог с продаж'!$C$1</f>
        <v>140</v>
      </c>
      <c r="E7" s="26">
        <f t="shared" si="0"/>
        <v>2940</v>
      </c>
      <c r="F7" s="24"/>
    </row>
    <row r="8" spans="1:6" x14ac:dyDescent="0.25">
      <c r="A8" s="27"/>
      <c r="B8" s="28"/>
      <c r="C8" s="29"/>
      <c r="D8" s="31" t="s">
        <v>26</v>
      </c>
      <c r="E8" s="32">
        <f>SUM(E3:E7)</f>
        <v>25830</v>
      </c>
      <c r="F8" s="24"/>
    </row>
    <row r="9" spans="1:6" x14ac:dyDescent="0.25">
      <c r="A9" s="14"/>
      <c r="B9" s="15"/>
      <c r="C9" s="16"/>
      <c r="D9" s="17"/>
      <c r="E9" s="24"/>
      <c r="F9" s="24"/>
    </row>
    <row r="10" spans="1:6" x14ac:dyDescent="0.25">
      <c r="A10" s="24"/>
      <c r="B10" s="24"/>
      <c r="C10" s="24"/>
      <c r="D10" s="24"/>
      <c r="E10" s="24"/>
      <c r="F10" s="24"/>
    </row>
    <row r="11" spans="1:6" x14ac:dyDescent="0.25">
      <c r="A11" s="24"/>
      <c r="B11" s="24"/>
      <c r="C11" s="24"/>
      <c r="D11" s="24"/>
      <c r="E11" s="24"/>
      <c r="F11" s="24"/>
    </row>
  </sheetData>
  <sortState ref="B3:C7">
    <sortCondition descending="1" ref="C3:C7"/>
  </sortState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"/>
  <sheetViews>
    <sheetView workbookViewId="0">
      <selection activeCell="N12" sqref="N12"/>
    </sheetView>
  </sheetViews>
  <sheetFormatPr defaultRowHeight="15" x14ac:dyDescent="0.25"/>
  <cols>
    <col min="1" max="2" width="4" customWidth="1"/>
    <col min="3" max="3" width="1.85546875" customWidth="1"/>
    <col min="4" max="6" width="4" customWidth="1"/>
    <col min="7" max="7" width="1.7109375" customWidth="1"/>
    <col min="8" max="10" width="4" customWidth="1"/>
    <col min="11" max="11" width="1.85546875" customWidth="1"/>
    <col min="12" max="13" width="4" customWidth="1"/>
  </cols>
  <sheetData>
    <row r="1" spans="1:13" x14ac:dyDescent="0.25">
      <c r="A1" s="143">
        <f ca="1">TODAY()</f>
        <v>46174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</row>
    <row r="2" spans="1:13" x14ac:dyDescent="0.25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</row>
    <row r="3" spans="1:13" x14ac:dyDescent="0.25">
      <c r="A3" s="10">
        <v>25</v>
      </c>
      <c r="B3" s="10">
        <v>-61</v>
      </c>
      <c r="C3" s="10">
        <v>0</v>
      </c>
      <c r="D3" s="10">
        <v>-82</v>
      </c>
      <c r="E3" s="10">
        <v>18</v>
      </c>
      <c r="F3" s="10">
        <v>-11</v>
      </c>
      <c r="G3" s="10">
        <v>0</v>
      </c>
      <c r="H3" s="10">
        <v>30</v>
      </c>
      <c r="I3" s="10">
        <v>15</v>
      </c>
      <c r="J3" s="10">
        <v>-31</v>
      </c>
      <c r="K3" s="10">
        <v>0</v>
      </c>
      <c r="L3" s="10">
        <v>-58</v>
      </c>
      <c r="M3" s="10">
        <v>22</v>
      </c>
    </row>
    <row r="4" spans="1:13" x14ac:dyDescent="0.25">
      <c r="A4" s="35"/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</row>
    <row r="5" spans="1:13" x14ac:dyDescent="0.25">
      <c r="A5" s="140" t="s">
        <v>41</v>
      </c>
      <c r="B5" s="140"/>
      <c r="C5" s="140"/>
      <c r="D5" s="140"/>
      <c r="E5" s="140"/>
      <c r="F5" s="140"/>
      <c r="G5" s="140"/>
      <c r="H5" s="140"/>
      <c r="I5" s="140"/>
      <c r="J5" s="140"/>
      <c r="K5" s="141">
        <f>COUNT(A3:M3)</f>
        <v>13</v>
      </c>
      <c r="L5" s="141"/>
      <c r="M5" s="141"/>
    </row>
    <row r="6" spans="1:13" x14ac:dyDescent="0.25">
      <c r="A6" s="140" t="s">
        <v>42</v>
      </c>
      <c r="B6" s="140"/>
      <c r="C6" s="140"/>
      <c r="D6" s="140"/>
      <c r="E6" s="140"/>
      <c r="F6" s="140"/>
      <c r="G6" s="140"/>
      <c r="H6" s="140"/>
      <c r="I6" s="140"/>
      <c r="J6" s="140"/>
      <c r="K6" s="141">
        <f>COUNTIF(A3:M3,"&gt;0")</f>
        <v>5</v>
      </c>
      <c r="L6" s="141"/>
      <c r="M6" s="141"/>
    </row>
    <row r="7" spans="1:13" x14ac:dyDescent="0.25">
      <c r="A7" s="140" t="s">
        <v>43</v>
      </c>
      <c r="B7" s="140"/>
      <c r="C7" s="140"/>
      <c r="D7" s="140"/>
      <c r="E7" s="140"/>
      <c r="F7" s="140"/>
      <c r="G7" s="140"/>
      <c r="H7" s="140"/>
      <c r="I7" s="140"/>
      <c r="J7" s="140"/>
      <c r="K7" s="141">
        <f>COUNTIF(A3:M3,"&lt;0")</f>
        <v>5</v>
      </c>
      <c r="L7" s="141"/>
      <c r="M7" s="141"/>
    </row>
    <row r="8" spans="1:13" x14ac:dyDescent="0.25">
      <c r="A8" s="140" t="s">
        <v>44</v>
      </c>
      <c r="B8" s="140"/>
      <c r="C8" s="140"/>
      <c r="D8" s="140"/>
      <c r="E8" s="140"/>
      <c r="F8" s="140"/>
      <c r="G8" s="140"/>
      <c r="H8" s="140"/>
      <c r="I8" s="140"/>
      <c r="J8" s="140"/>
      <c r="K8" s="141">
        <f>COUNTIF(A3:M3,"=0")</f>
        <v>3</v>
      </c>
      <c r="L8" s="141"/>
      <c r="M8" s="141"/>
    </row>
    <row r="9" spans="1:13" x14ac:dyDescent="0.25">
      <c r="A9" s="140" t="s">
        <v>45</v>
      </c>
      <c r="B9" s="140"/>
      <c r="C9" s="140"/>
      <c r="D9" s="140"/>
      <c r="E9" s="140"/>
      <c r="F9" s="140"/>
      <c r="G9" s="140"/>
      <c r="H9" s="140"/>
      <c r="I9" s="140"/>
      <c r="J9" s="140"/>
      <c r="K9" s="141">
        <f>MAX(A3:M3)</f>
        <v>30</v>
      </c>
      <c r="L9" s="141"/>
      <c r="M9" s="141"/>
    </row>
    <row r="10" spans="1:13" x14ac:dyDescent="0.25">
      <c r="A10" s="140" t="s">
        <v>50</v>
      </c>
      <c r="B10" s="140"/>
      <c r="C10" s="140"/>
      <c r="D10" s="140"/>
      <c r="E10" s="140"/>
      <c r="F10" s="140"/>
      <c r="G10" s="140"/>
      <c r="H10" s="140"/>
      <c r="I10" s="140"/>
      <c r="J10" s="140"/>
      <c r="K10" s="141">
        <f>MIN(A3:M3)</f>
        <v>-82</v>
      </c>
      <c r="L10" s="141"/>
      <c r="M10" s="141"/>
    </row>
    <row r="11" spans="1:13" x14ac:dyDescent="0.25">
      <c r="A11" s="140" t="s">
        <v>49</v>
      </c>
      <c r="B11" s="140"/>
      <c r="C11" s="140"/>
      <c r="D11" s="140"/>
      <c r="E11" s="140"/>
      <c r="F11" s="140"/>
      <c r="G11" s="140"/>
      <c r="H11" s="140"/>
      <c r="I11" s="140"/>
      <c r="J11" s="140"/>
      <c r="K11" s="142">
        <f>AVERAGE(A3:M3)</f>
        <v>-10.23076923076923</v>
      </c>
      <c r="L11" s="142"/>
      <c r="M11" s="142"/>
    </row>
    <row r="12" spans="1:13" x14ac:dyDescent="0.25">
      <c r="A12" s="140" t="s">
        <v>48</v>
      </c>
      <c r="B12" s="140"/>
      <c r="C12" s="140"/>
      <c r="D12" s="140"/>
      <c r="E12" s="140"/>
      <c r="F12" s="140"/>
      <c r="G12" s="140"/>
      <c r="H12" s="140"/>
      <c r="I12" s="140"/>
      <c r="J12" s="140"/>
      <c r="K12" s="141">
        <f>SUM(A3:M3)</f>
        <v>-133</v>
      </c>
      <c r="L12" s="141"/>
      <c r="M12" s="141"/>
    </row>
    <row r="13" spans="1:13" x14ac:dyDescent="0.25">
      <c r="A13" s="140" t="s">
        <v>47</v>
      </c>
      <c r="B13" s="140"/>
      <c r="C13" s="140"/>
      <c r="D13" s="140"/>
      <c r="E13" s="140"/>
      <c r="F13" s="140"/>
      <c r="G13" s="140"/>
      <c r="H13" s="140"/>
      <c r="I13" s="140"/>
      <c r="J13" s="140"/>
      <c r="K13" s="141">
        <f>SUMIF(A3:M3,"&gt;0")</f>
        <v>110</v>
      </c>
      <c r="L13" s="141"/>
      <c r="M13" s="141"/>
    </row>
    <row r="14" spans="1:13" x14ac:dyDescent="0.25">
      <c r="A14" s="140" t="s">
        <v>46</v>
      </c>
      <c r="B14" s="140"/>
      <c r="C14" s="140"/>
      <c r="D14" s="140"/>
      <c r="E14" s="140"/>
      <c r="F14" s="140"/>
      <c r="G14" s="140"/>
      <c r="H14" s="140"/>
      <c r="I14" s="140"/>
      <c r="J14" s="140"/>
      <c r="K14" s="141">
        <f>SUMIF(A3:M3,"&lt;0")</f>
        <v>-243</v>
      </c>
      <c r="L14" s="141"/>
      <c r="M14" s="141"/>
    </row>
  </sheetData>
  <mergeCells count="21">
    <mergeCell ref="A1:M1"/>
    <mergeCell ref="K5:M5"/>
    <mergeCell ref="K6:M6"/>
    <mergeCell ref="K7:M7"/>
    <mergeCell ref="K8:M8"/>
    <mergeCell ref="K14:M14"/>
    <mergeCell ref="A5:J5"/>
    <mergeCell ref="A6:J6"/>
    <mergeCell ref="A7:J7"/>
    <mergeCell ref="A8:J8"/>
    <mergeCell ref="A9:J9"/>
    <mergeCell ref="A10:J10"/>
    <mergeCell ref="A11:J11"/>
    <mergeCell ref="A12:J12"/>
    <mergeCell ref="A13:J13"/>
    <mergeCell ref="A14:J14"/>
    <mergeCell ref="K9:M9"/>
    <mergeCell ref="K10:M10"/>
    <mergeCell ref="K11:M11"/>
    <mergeCell ref="K12:M12"/>
    <mergeCell ref="K13:M13"/>
  </mergeCell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1"/>
  <sheetViews>
    <sheetView workbookViewId="0">
      <selection activeCell="C1" sqref="C1"/>
    </sheetView>
  </sheetViews>
  <sheetFormatPr defaultRowHeight="15" x14ac:dyDescent="0.25"/>
  <cols>
    <col min="2" max="2" width="17.28515625" customWidth="1"/>
  </cols>
  <sheetData>
    <row r="1" spans="2:3" x14ac:dyDescent="0.25">
      <c r="B1" t="s">
        <v>32</v>
      </c>
      <c r="C1">
        <v>0.05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selection activeCell="G6" sqref="G6"/>
    </sheetView>
  </sheetViews>
  <sheetFormatPr defaultRowHeight="15" x14ac:dyDescent="0.25"/>
  <cols>
    <col min="1" max="1" width="9.28515625" customWidth="1"/>
    <col min="2" max="2" width="13.85546875" customWidth="1"/>
    <col min="3" max="3" width="24.140625" customWidth="1"/>
    <col min="4" max="4" width="22.85546875" customWidth="1"/>
  </cols>
  <sheetData>
    <row r="1" spans="1:4" x14ac:dyDescent="0.25">
      <c r="A1" s="144" t="s">
        <v>28</v>
      </c>
      <c r="B1" s="145"/>
      <c r="C1" s="145"/>
      <c r="D1" s="145"/>
    </row>
    <row r="2" spans="1:4" x14ac:dyDescent="0.25">
      <c r="A2" t="s">
        <v>34</v>
      </c>
      <c r="B2" s="22">
        <v>46079</v>
      </c>
    </row>
    <row r="3" spans="1:4" x14ac:dyDescent="0.25">
      <c r="A3" t="s">
        <v>35</v>
      </c>
      <c r="B3" s="23">
        <v>0.40972222222222227</v>
      </c>
    </row>
    <row r="4" spans="1:4" ht="30.75" thickBot="1" x14ac:dyDescent="0.3">
      <c r="A4" s="13" t="s">
        <v>27</v>
      </c>
      <c r="B4" s="13" t="s">
        <v>17</v>
      </c>
      <c r="C4" s="13" t="s">
        <v>19</v>
      </c>
      <c r="D4" s="13" t="s">
        <v>18</v>
      </c>
    </row>
    <row r="5" spans="1:4" ht="15" customHeight="1" thickTop="1" x14ac:dyDescent="0.25">
      <c r="A5" s="20">
        <v>1</v>
      </c>
      <c r="B5" s="11" t="s">
        <v>23</v>
      </c>
      <c r="C5" s="19">
        <v>50880.95</v>
      </c>
      <c r="D5" s="12">
        <f t="shared" ref="D5:D10" si="0">C5/$C$11</f>
        <v>0.39852624800104203</v>
      </c>
    </row>
    <row r="6" spans="1:4" x14ac:dyDescent="0.25">
      <c r="A6" s="1">
        <v>2</v>
      </c>
      <c r="B6" s="5" t="s">
        <v>22</v>
      </c>
      <c r="C6" s="8">
        <v>25690.39</v>
      </c>
      <c r="D6" s="6">
        <f t="shared" si="0"/>
        <v>0.20122058916713409</v>
      </c>
    </row>
    <row r="7" spans="1:4" x14ac:dyDescent="0.25">
      <c r="A7" s="1">
        <v>3</v>
      </c>
      <c r="B7" s="5" t="s">
        <v>24</v>
      </c>
      <c r="C7" s="8">
        <v>19830.41</v>
      </c>
      <c r="D7" s="6">
        <f t="shared" si="0"/>
        <v>0.15532215679192987</v>
      </c>
    </row>
    <row r="8" spans="1:4" x14ac:dyDescent="0.25">
      <c r="A8" s="1">
        <v>4</v>
      </c>
      <c r="B8" s="5" t="s">
        <v>25</v>
      </c>
      <c r="C8" s="8">
        <v>14920.18</v>
      </c>
      <c r="D8" s="6">
        <f t="shared" si="0"/>
        <v>0.11686266382408717</v>
      </c>
    </row>
    <row r="9" spans="1:4" x14ac:dyDescent="0.25">
      <c r="A9" s="1">
        <v>5</v>
      </c>
      <c r="B9" s="5" t="s">
        <v>20</v>
      </c>
      <c r="C9" s="8">
        <v>10520.28</v>
      </c>
      <c r="D9" s="6">
        <f t="shared" si="0"/>
        <v>8.2400342688578002E-2</v>
      </c>
    </row>
    <row r="10" spans="1:4" x14ac:dyDescent="0.25">
      <c r="A10" s="1">
        <v>6</v>
      </c>
      <c r="B10" s="5" t="s">
        <v>21</v>
      </c>
      <c r="C10" s="8">
        <v>5830.56</v>
      </c>
      <c r="D10" s="6">
        <f t="shared" si="0"/>
        <v>4.5667999527228872E-2</v>
      </c>
    </row>
    <row r="11" spans="1:4" x14ac:dyDescent="0.25">
      <c r="A11" s="14"/>
      <c r="B11" s="21" t="s">
        <v>26</v>
      </c>
      <c r="C11" s="18">
        <f>SUM(C5:C10)</f>
        <v>127672.76999999999</v>
      </c>
      <c r="D11" s="17"/>
    </row>
  </sheetData>
  <sortState ref="B5:D10">
    <sortCondition descending="1" ref="C5:C10"/>
  </sortState>
  <mergeCells count="1">
    <mergeCell ref="A1:D1"/>
  </mergeCells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selection activeCell="H21" sqref="H21"/>
    </sheetView>
  </sheetViews>
  <sheetFormatPr defaultRowHeight="15" x14ac:dyDescent="0.25"/>
  <cols>
    <col min="1" max="1" width="9.28515625" customWidth="1"/>
    <col min="2" max="2" width="13.85546875" customWidth="1"/>
    <col min="3" max="3" width="24.140625" customWidth="1"/>
    <col min="4" max="4" width="22.85546875" customWidth="1"/>
  </cols>
  <sheetData>
    <row r="1" spans="1:4" x14ac:dyDescent="0.25">
      <c r="A1" s="144" t="s">
        <v>28</v>
      </c>
      <c r="B1" s="145"/>
      <c r="C1" s="145"/>
      <c r="D1" s="145"/>
    </row>
    <row r="2" spans="1:4" x14ac:dyDescent="0.25">
      <c r="A2" t="s">
        <v>34</v>
      </c>
      <c r="B2" s="22">
        <v>46079</v>
      </c>
    </row>
    <row r="3" spans="1:4" x14ac:dyDescent="0.25">
      <c r="A3" t="s">
        <v>35</v>
      </c>
      <c r="B3" s="23">
        <v>0.40972222222222227</v>
      </c>
    </row>
    <row r="4" spans="1:4" ht="30.75" thickBot="1" x14ac:dyDescent="0.3">
      <c r="A4" s="13" t="s">
        <v>27</v>
      </c>
      <c r="B4" s="13" t="s">
        <v>17</v>
      </c>
      <c r="C4" s="13" t="s">
        <v>19</v>
      </c>
      <c r="D4" s="13" t="s">
        <v>18</v>
      </c>
    </row>
    <row r="5" spans="1:4" ht="15" customHeight="1" thickTop="1" x14ac:dyDescent="0.25">
      <c r="A5" s="20">
        <v>1</v>
      </c>
      <c r="B5" s="11" t="s">
        <v>23</v>
      </c>
      <c r="C5" s="19">
        <v>50880.95</v>
      </c>
      <c r="D5" s="12">
        <f t="shared" ref="D5:D10" si="0">C5/$C$11</f>
        <v>0.39852624800104203</v>
      </c>
    </row>
    <row r="6" spans="1:4" x14ac:dyDescent="0.25">
      <c r="A6" s="34">
        <v>2</v>
      </c>
      <c r="B6" s="5" t="s">
        <v>22</v>
      </c>
      <c r="C6" s="8">
        <v>25690.39</v>
      </c>
      <c r="D6" s="6">
        <f t="shared" si="0"/>
        <v>0.20122058916713409</v>
      </c>
    </row>
    <row r="7" spans="1:4" x14ac:dyDescent="0.25">
      <c r="A7" s="34">
        <v>3</v>
      </c>
      <c r="B7" s="5" t="s">
        <v>24</v>
      </c>
      <c r="C7" s="8">
        <v>19830.41</v>
      </c>
      <c r="D7" s="6">
        <f t="shared" si="0"/>
        <v>0.15532215679192987</v>
      </c>
    </row>
    <row r="8" spans="1:4" x14ac:dyDescent="0.25">
      <c r="A8" s="34">
        <v>4</v>
      </c>
      <c r="B8" s="5" t="s">
        <v>25</v>
      </c>
      <c r="C8" s="8">
        <v>14920.18</v>
      </c>
      <c r="D8" s="6">
        <f t="shared" si="0"/>
        <v>0.11686266382408717</v>
      </c>
    </row>
    <row r="9" spans="1:4" x14ac:dyDescent="0.25">
      <c r="A9" s="34">
        <v>5</v>
      </c>
      <c r="B9" s="5" t="s">
        <v>20</v>
      </c>
      <c r="C9" s="8">
        <v>10520.28</v>
      </c>
      <c r="D9" s="6">
        <f t="shared" si="0"/>
        <v>8.2400342688578002E-2</v>
      </c>
    </row>
    <row r="10" spans="1:4" x14ac:dyDescent="0.25">
      <c r="A10" s="34">
        <v>6</v>
      </c>
      <c r="B10" s="5" t="s">
        <v>21</v>
      </c>
      <c r="C10" s="8">
        <v>5830.56</v>
      </c>
      <c r="D10" s="6">
        <f t="shared" si="0"/>
        <v>4.5667999527228872E-2</v>
      </c>
    </row>
    <row r="11" spans="1:4" x14ac:dyDescent="0.25">
      <c r="A11" s="14"/>
      <c r="B11" s="21" t="s">
        <v>26</v>
      </c>
      <c r="C11" s="18">
        <f>SUM(C5:C10)</f>
        <v>127672.76999999999</v>
      </c>
      <c r="D11" s="17"/>
    </row>
  </sheetData>
  <mergeCells count="1">
    <mergeCell ref="A1:D1"/>
  </mergeCells>
  <pageMargins left="0.7" right="0.7" top="0.75" bottom="0.75" header="0.3" footer="0.3"/>
  <pageSetup paperSize="9" orientation="portrait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selection activeCell="O11" sqref="O11"/>
    </sheetView>
  </sheetViews>
  <sheetFormatPr defaultRowHeight="15" x14ac:dyDescent="0.25"/>
  <cols>
    <col min="2" max="2" width="22" customWidth="1"/>
    <col min="3" max="3" width="11.7109375" customWidth="1"/>
    <col min="4" max="4" width="15" customWidth="1"/>
    <col min="5" max="5" width="11.5703125" customWidth="1"/>
  </cols>
  <sheetData>
    <row r="1" spans="1:6" x14ac:dyDescent="0.25">
      <c r="A1" s="140" t="s">
        <v>29</v>
      </c>
      <c r="B1" s="140"/>
      <c r="C1" s="140"/>
      <c r="D1" s="140"/>
      <c r="E1" s="140"/>
    </row>
    <row r="2" spans="1:6" x14ac:dyDescent="0.25">
      <c r="A2" s="7" t="s">
        <v>27</v>
      </c>
      <c r="B2" s="34" t="s">
        <v>30</v>
      </c>
      <c r="C2" s="34" t="s">
        <v>31</v>
      </c>
      <c r="D2" s="34" t="s">
        <v>32</v>
      </c>
      <c r="E2" s="34" t="s">
        <v>33</v>
      </c>
    </row>
    <row r="3" spans="1:6" x14ac:dyDescent="0.25">
      <c r="A3" s="9">
        <v>1</v>
      </c>
      <c r="B3" s="5" t="s">
        <v>38</v>
      </c>
      <c r="C3" s="25">
        <v>9800</v>
      </c>
      <c r="D3" s="26">
        <f>C3*'Налог с продаж'!$C$1</f>
        <v>490</v>
      </c>
      <c r="E3" s="26">
        <f>SUM(C3:D3)</f>
        <v>10290</v>
      </c>
    </row>
    <row r="4" spans="1:6" x14ac:dyDescent="0.25">
      <c r="A4" s="9">
        <v>2</v>
      </c>
      <c r="B4" s="5" t="s">
        <v>36</v>
      </c>
      <c r="C4" s="25">
        <v>5400</v>
      </c>
      <c r="D4" s="26">
        <f>C4*'Налог с продаж'!$C$1</f>
        <v>270</v>
      </c>
      <c r="E4" s="26">
        <f t="shared" ref="E4:E7" si="0">SUM(C4:D4)</f>
        <v>5670</v>
      </c>
    </row>
    <row r="5" spans="1:6" x14ac:dyDescent="0.25">
      <c r="A5" s="9">
        <v>3</v>
      </c>
      <c r="B5" s="5" t="s">
        <v>40</v>
      </c>
      <c r="C5" s="25">
        <v>3750</v>
      </c>
      <c r="D5" s="26">
        <f>C5*'Налог с продаж'!$C$1</f>
        <v>187.5</v>
      </c>
      <c r="E5" s="26">
        <f t="shared" si="0"/>
        <v>3937.5</v>
      </c>
    </row>
    <row r="6" spans="1:6" x14ac:dyDescent="0.25">
      <c r="A6" s="9">
        <v>4</v>
      </c>
      <c r="B6" s="5" t="s">
        <v>37</v>
      </c>
      <c r="C6" s="25">
        <v>2850</v>
      </c>
      <c r="D6" s="26">
        <f>C6*'Налог с продаж'!$C$1</f>
        <v>142.5</v>
      </c>
      <c r="E6" s="26">
        <f t="shared" si="0"/>
        <v>2992.5</v>
      </c>
    </row>
    <row r="7" spans="1:6" x14ac:dyDescent="0.25">
      <c r="A7" s="9">
        <v>5</v>
      </c>
      <c r="B7" s="5" t="s">
        <v>39</v>
      </c>
      <c r="C7" s="25">
        <v>2800</v>
      </c>
      <c r="D7" s="30">
        <f>C7*'Налог с продаж'!$C$1</f>
        <v>140</v>
      </c>
      <c r="E7" s="26">
        <f t="shared" si="0"/>
        <v>2940</v>
      </c>
      <c r="F7" s="24"/>
    </row>
    <row r="8" spans="1:6" x14ac:dyDescent="0.25">
      <c r="A8" s="27"/>
      <c r="B8" s="28"/>
      <c r="C8" s="29"/>
      <c r="D8" s="31" t="s">
        <v>26</v>
      </c>
      <c r="E8" s="32">
        <f>SUM(E3:E7)</f>
        <v>25830</v>
      </c>
      <c r="F8" s="24"/>
    </row>
    <row r="9" spans="1:6" x14ac:dyDescent="0.25">
      <c r="A9" s="14"/>
      <c r="B9" s="15"/>
      <c r="C9" s="16"/>
      <c r="D9" s="17"/>
      <c r="E9" s="24"/>
      <c r="F9" s="24"/>
    </row>
    <row r="10" spans="1:6" x14ac:dyDescent="0.25">
      <c r="A10" s="24"/>
      <c r="B10" s="24"/>
      <c r="C10" s="24"/>
      <c r="D10" s="24"/>
      <c r="E10" s="24"/>
      <c r="F10" s="24"/>
    </row>
    <row r="11" spans="1:6" x14ac:dyDescent="0.25">
      <c r="A11" s="24"/>
      <c r="B11" s="24"/>
      <c r="C11" s="24"/>
      <c r="D11" s="24"/>
      <c r="E11" s="24"/>
      <c r="F11" s="24"/>
    </row>
  </sheetData>
  <mergeCells count="1">
    <mergeCell ref="A1:E1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workbookViewId="0">
      <selection activeCell="G23" sqref="G23"/>
    </sheetView>
  </sheetViews>
  <sheetFormatPr defaultRowHeight="15" x14ac:dyDescent="0.25"/>
  <sheetData>
    <row r="1" spans="1:2" x14ac:dyDescent="0.25">
      <c r="A1" s="35" t="s">
        <v>51</v>
      </c>
      <c r="B1" s="35" t="s">
        <v>52</v>
      </c>
    </row>
    <row r="2" spans="1:2" x14ac:dyDescent="0.25">
      <c r="A2" s="35">
        <v>-5</v>
      </c>
      <c r="B2" s="36">
        <f>SIN(A2)</f>
        <v>0.95892427466313845</v>
      </c>
    </row>
    <row r="3" spans="1:2" x14ac:dyDescent="0.25">
      <c r="A3" s="35">
        <v>-4.5</v>
      </c>
      <c r="B3" s="36">
        <f t="shared" ref="B3:B22" si="0">SIN(A3)</f>
        <v>0.97753011766509701</v>
      </c>
    </row>
    <row r="4" spans="1:2" x14ac:dyDescent="0.25">
      <c r="A4" s="35">
        <v>-4</v>
      </c>
      <c r="B4" s="36">
        <f t="shared" si="0"/>
        <v>0.7568024953079282</v>
      </c>
    </row>
    <row r="5" spans="1:2" x14ac:dyDescent="0.25">
      <c r="A5" s="35">
        <v>-3.5</v>
      </c>
      <c r="B5" s="36">
        <f t="shared" si="0"/>
        <v>0.35078322768961984</v>
      </c>
    </row>
    <row r="6" spans="1:2" x14ac:dyDescent="0.25">
      <c r="A6" s="35">
        <v>-3</v>
      </c>
      <c r="B6" s="36">
        <f t="shared" si="0"/>
        <v>-0.14112000805986721</v>
      </c>
    </row>
    <row r="7" spans="1:2" x14ac:dyDescent="0.25">
      <c r="A7" s="35">
        <v>-2.5</v>
      </c>
      <c r="B7" s="36">
        <f t="shared" si="0"/>
        <v>-0.59847214410395655</v>
      </c>
    </row>
    <row r="8" spans="1:2" x14ac:dyDescent="0.25">
      <c r="A8" s="35">
        <v>-2</v>
      </c>
      <c r="B8" s="36">
        <f t="shared" si="0"/>
        <v>-0.90929742682568171</v>
      </c>
    </row>
    <row r="9" spans="1:2" x14ac:dyDescent="0.25">
      <c r="A9" s="35">
        <v>-1.5</v>
      </c>
      <c r="B9" s="36">
        <f t="shared" si="0"/>
        <v>-0.99749498660405445</v>
      </c>
    </row>
    <row r="10" spans="1:2" x14ac:dyDescent="0.25">
      <c r="A10" s="35">
        <v>-1</v>
      </c>
      <c r="B10" s="36">
        <f t="shared" si="0"/>
        <v>-0.8414709848078965</v>
      </c>
    </row>
    <row r="11" spans="1:2" x14ac:dyDescent="0.25">
      <c r="A11" s="35">
        <v>-0.5</v>
      </c>
      <c r="B11" s="36">
        <f t="shared" si="0"/>
        <v>-0.47942553860420301</v>
      </c>
    </row>
    <row r="12" spans="1:2" x14ac:dyDescent="0.25">
      <c r="A12" s="35">
        <v>0</v>
      </c>
      <c r="B12" s="36">
        <f t="shared" si="0"/>
        <v>0</v>
      </c>
    </row>
    <row r="13" spans="1:2" x14ac:dyDescent="0.25">
      <c r="A13" s="35">
        <v>0.5</v>
      </c>
      <c r="B13" s="36">
        <f t="shared" si="0"/>
        <v>0.47942553860420301</v>
      </c>
    </row>
    <row r="14" spans="1:2" x14ac:dyDescent="0.25">
      <c r="A14" s="35">
        <v>1</v>
      </c>
      <c r="B14" s="36">
        <f t="shared" si="0"/>
        <v>0.8414709848078965</v>
      </c>
    </row>
    <row r="15" spans="1:2" x14ac:dyDescent="0.25">
      <c r="A15" s="35">
        <v>1.5</v>
      </c>
      <c r="B15" s="36">
        <f t="shared" si="0"/>
        <v>0.99749498660405445</v>
      </c>
    </row>
    <row r="16" spans="1:2" x14ac:dyDescent="0.25">
      <c r="A16" s="35">
        <v>2</v>
      </c>
      <c r="B16" s="36">
        <f t="shared" si="0"/>
        <v>0.90929742682568171</v>
      </c>
    </row>
    <row r="17" spans="1:2" x14ac:dyDescent="0.25">
      <c r="A17" s="35">
        <v>2.5</v>
      </c>
      <c r="B17" s="36">
        <f t="shared" si="0"/>
        <v>0.59847214410395655</v>
      </c>
    </row>
    <row r="18" spans="1:2" x14ac:dyDescent="0.25">
      <c r="A18" s="35">
        <v>3</v>
      </c>
      <c r="B18" s="36">
        <f t="shared" si="0"/>
        <v>0.14112000805986721</v>
      </c>
    </row>
    <row r="19" spans="1:2" x14ac:dyDescent="0.25">
      <c r="A19" s="35">
        <v>3.5</v>
      </c>
      <c r="B19" s="36">
        <f t="shared" si="0"/>
        <v>-0.35078322768961984</v>
      </c>
    </row>
    <row r="20" spans="1:2" x14ac:dyDescent="0.25">
      <c r="A20" s="35">
        <v>4</v>
      </c>
      <c r="B20" s="36">
        <f t="shared" si="0"/>
        <v>-0.7568024953079282</v>
      </c>
    </row>
    <row r="21" spans="1:2" x14ac:dyDescent="0.25">
      <c r="A21" s="35">
        <v>4.5</v>
      </c>
      <c r="B21" s="36">
        <f t="shared" si="0"/>
        <v>-0.97753011766509701</v>
      </c>
    </row>
    <row r="22" spans="1:2" x14ac:dyDescent="0.25">
      <c r="A22" s="35">
        <v>5</v>
      </c>
      <c r="B22" s="36">
        <f t="shared" si="0"/>
        <v>-0.95892427466313845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8"/>
  <sheetViews>
    <sheetView zoomScaleNormal="100" workbookViewId="0">
      <selection activeCell="H24" sqref="F23:H24"/>
    </sheetView>
  </sheetViews>
  <sheetFormatPr defaultRowHeight="15" x14ac:dyDescent="0.25"/>
  <cols>
    <col min="1" max="1" width="21.140625" customWidth="1"/>
    <col min="2" max="2" width="17" customWidth="1"/>
    <col min="3" max="3" width="13.140625" customWidth="1"/>
    <col min="4" max="4" width="17.7109375" customWidth="1"/>
    <col min="5" max="5" width="17.28515625" customWidth="1"/>
    <col min="6" max="6" width="17.85546875" customWidth="1"/>
  </cols>
  <sheetData>
    <row r="1" spans="1:6" x14ac:dyDescent="0.25">
      <c r="A1" s="35" t="s">
        <v>65</v>
      </c>
      <c r="B1" s="38" t="s">
        <v>53</v>
      </c>
      <c r="D1" s="146" t="s">
        <v>57</v>
      </c>
      <c r="E1" s="146"/>
      <c r="F1" s="146"/>
    </row>
    <row r="2" spans="1:6" x14ac:dyDescent="0.25">
      <c r="A2" s="37">
        <v>39721</v>
      </c>
      <c r="B2" s="38" t="s">
        <v>54</v>
      </c>
      <c r="D2" s="35">
        <v>23</v>
      </c>
      <c r="E2" s="35" t="s">
        <v>58</v>
      </c>
      <c r="F2" s="35" t="s">
        <v>60</v>
      </c>
    </row>
    <row r="3" spans="1:6" x14ac:dyDescent="0.25">
      <c r="A3" s="37">
        <f ca="1">TODAY()</f>
        <v>46174</v>
      </c>
      <c r="B3" s="38" t="s">
        <v>55</v>
      </c>
      <c r="D3" s="35">
        <v>28</v>
      </c>
      <c r="E3" s="35" t="s">
        <v>59</v>
      </c>
      <c r="F3" s="35" t="s">
        <v>61</v>
      </c>
    </row>
    <row r="4" spans="1:6" x14ac:dyDescent="0.25">
      <c r="A4" s="35">
        <f ca="1">A3-A2</f>
        <v>6453</v>
      </c>
      <c r="B4" s="38" t="s">
        <v>56</v>
      </c>
      <c r="D4" s="35">
        <v>33</v>
      </c>
      <c r="E4" s="35" t="s">
        <v>58</v>
      </c>
      <c r="F4" s="35" t="s">
        <v>62</v>
      </c>
    </row>
    <row r="5" spans="1:6" x14ac:dyDescent="0.25">
      <c r="A5" s="147" t="s">
        <v>64</v>
      </c>
      <c r="B5" s="147"/>
      <c r="C5" s="147"/>
      <c r="D5" s="147"/>
      <c r="E5" s="147"/>
    </row>
    <row r="6" spans="1:6" ht="24" customHeight="1" x14ac:dyDescent="0.25">
      <c r="A6" s="34" t="s">
        <v>63</v>
      </c>
      <c r="B6" s="39" t="s">
        <v>56</v>
      </c>
      <c r="C6" s="34" t="s">
        <v>60</v>
      </c>
      <c r="D6" s="34" t="s">
        <v>61</v>
      </c>
      <c r="E6" s="34" t="s">
        <v>62</v>
      </c>
    </row>
    <row r="7" spans="1:6" x14ac:dyDescent="0.25">
      <c r="A7" s="40">
        <f ca="1">A3</f>
        <v>46174</v>
      </c>
      <c r="B7" s="41">
        <f ca="1">A4</f>
        <v>6453</v>
      </c>
      <c r="C7" s="42">
        <f ca="1">SIN((2*PI()*A7-B7)/$D$2)</f>
        <v>-0.52583651060970782</v>
      </c>
      <c r="D7" s="42">
        <f ca="1">SIN((2*PI()*A7-B7)/$D$3)</f>
        <v>0.62818870050726971</v>
      </c>
      <c r="E7" s="42">
        <f ca="1">SIN((2*PI()*A7-B7)/$D$4)</f>
        <v>0.53633344954541018</v>
      </c>
    </row>
    <row r="8" spans="1:6" x14ac:dyDescent="0.25">
      <c r="A8" s="40">
        <f ca="1">A7+1</f>
        <v>46175</v>
      </c>
      <c r="B8" s="41">
        <f ca="1">B7+1</f>
        <v>6454</v>
      </c>
      <c r="C8" s="42">
        <f ca="1">SIN((2*PI()*A8-B8)/$D$2)</f>
        <v>-0.31835581676799474</v>
      </c>
      <c r="D8" s="42">
        <f t="shared" ref="D8:D38" ca="1" si="0">SIN((2*PI()*A8-B8)/$D$3)</f>
        <v>0.47110039354450584</v>
      </c>
      <c r="E8" s="42">
        <f t="shared" ref="E8:E38" ca="1" si="1">SIN((2*PI()*A8-B8)/$D$4)</f>
        <v>0.66402074105397657</v>
      </c>
    </row>
    <row r="9" spans="1:6" x14ac:dyDescent="0.25">
      <c r="A9" s="40">
        <f t="shared" ref="A9:A38" ca="1" si="2">A8+1</f>
        <v>46176</v>
      </c>
      <c r="B9" s="41">
        <f t="shared" ref="B9:B38" ca="1" si="3">B8+1</f>
        <v>6455</v>
      </c>
      <c r="C9" s="42">
        <f t="shared" ref="C9:C38" ca="1" si="4">SIN((2*PI()*A9-B9)/$D$2)</f>
        <v>-9.4151191461850053E-2</v>
      </c>
      <c r="D9" s="42">
        <f t="shared" ca="1" si="0"/>
        <v>0.29728962424790423</v>
      </c>
      <c r="E9" s="42">
        <f t="shared" ca="1" si="1"/>
        <v>0.77472490617723277</v>
      </c>
    </row>
    <row r="10" spans="1:6" x14ac:dyDescent="0.25">
      <c r="A10" s="40">
        <f t="shared" ca="1" si="2"/>
        <v>46177</v>
      </c>
      <c r="B10" s="41">
        <f t="shared" ca="1" si="3"/>
        <v>6456</v>
      </c>
      <c r="C10" s="42">
        <f t="shared" ca="1" si="4"/>
        <v>0.13499940307505373</v>
      </c>
      <c r="D10" s="42">
        <f t="shared" ca="1" si="0"/>
        <v>0.11292608400667616</v>
      </c>
      <c r="E10" s="42">
        <f t="shared" ca="1" si="1"/>
        <v>0.86561455319766278</v>
      </c>
    </row>
    <row r="11" spans="1:6" x14ac:dyDescent="0.25">
      <c r="A11" s="40">
        <f t="shared" ca="1" si="2"/>
        <v>46178</v>
      </c>
      <c r="B11" s="41">
        <f t="shared" ca="1" si="3"/>
        <v>6457</v>
      </c>
      <c r="C11" s="42">
        <f t="shared" ca="1" si="4"/>
        <v>0.35705818195524541</v>
      </c>
      <c r="D11" s="42">
        <f t="shared" ca="1" si="0"/>
        <v>-7.5445948291718232E-2</v>
      </c>
      <c r="E11" s="42">
        <f t="shared" ca="1" si="1"/>
        <v>0.93436507044745232</v>
      </c>
    </row>
    <row r="12" spans="1:6" x14ac:dyDescent="0.25">
      <c r="A12" s="40">
        <f t="shared" ca="1" si="2"/>
        <v>46179</v>
      </c>
      <c r="B12" s="41">
        <f t="shared" ca="1" si="3"/>
        <v>6458</v>
      </c>
      <c r="C12" s="42">
        <f t="shared" ca="1" si="4"/>
        <v>0.56035990897729226</v>
      </c>
      <c r="D12" s="42">
        <f t="shared" ca="1" si="0"/>
        <v>-0.26113990592504333</v>
      </c>
      <c r="E12" s="42">
        <f t="shared" ca="1" si="1"/>
        <v>0.97921808103946584</v>
      </c>
    </row>
    <row r="13" spans="1:6" x14ac:dyDescent="0.25">
      <c r="A13" s="40">
        <f t="shared" ca="1" si="2"/>
        <v>46180</v>
      </c>
      <c r="B13" s="41">
        <f t="shared" ca="1" si="3"/>
        <v>6459</v>
      </c>
      <c r="C13" s="42">
        <f t="shared" ca="1" si="4"/>
        <v>0.73422469713462291</v>
      </c>
      <c r="D13" s="42">
        <f t="shared" ca="1" si="0"/>
        <v>-0.43756428471508418</v>
      </c>
      <c r="E13" s="42">
        <f t="shared" ca="1" si="1"/>
        <v>0.99902641546557536</v>
      </c>
    </row>
    <row r="14" spans="1:6" x14ac:dyDescent="0.25">
      <c r="A14" s="40">
        <f t="shared" ca="1" si="2"/>
        <v>46181</v>
      </c>
      <c r="B14" s="41">
        <f t="shared" ca="1" si="3"/>
        <v>6460</v>
      </c>
      <c r="C14" s="42">
        <f t="shared" ca="1" si="4"/>
        <v>0.86951904658996171</v>
      </c>
      <c r="D14" s="42">
        <f t="shared" ca="1" si="0"/>
        <v>-0.59845661901953251</v>
      </c>
      <c r="E14" s="42">
        <f t="shared" ca="1" si="1"/>
        <v>0.9932834518286292</v>
      </c>
    </row>
    <row r="15" spans="1:6" x14ac:dyDescent="0.25">
      <c r="A15" s="40">
        <f t="shared" ca="1" si="2"/>
        <v>46182</v>
      </c>
      <c r="B15" s="41">
        <f t="shared" ca="1" si="3"/>
        <v>6461</v>
      </c>
      <c r="C15" s="42">
        <f t="shared" ca="1" si="4"/>
        <v>0.95913564750187486</v>
      </c>
      <c r="D15" s="42">
        <f t="shared" ca="1" si="0"/>
        <v>-0.73810577796530419</v>
      </c>
      <c r="E15" s="42">
        <f t="shared" ca="1" si="1"/>
        <v>0.96213607330760054</v>
      </c>
    </row>
    <row r="16" spans="1:6" x14ac:dyDescent="0.25">
      <c r="A16" s="40">
        <f t="shared" ca="1" si="2"/>
        <v>46183</v>
      </c>
      <c r="B16" s="41">
        <f t="shared" ca="1" si="3"/>
        <v>6462</v>
      </c>
      <c r="C16" s="42">
        <f t="shared" ca="1" si="4"/>
        <v>0.99836674266209258</v>
      </c>
      <c r="D16" s="42">
        <f t="shared" ca="1" si="0"/>
        <v>-0.85155469118820293</v>
      </c>
      <c r="E16" s="42">
        <f t="shared" ca="1" si="1"/>
        <v>0.90638091144318422</v>
      </c>
    </row>
    <row r="17" spans="1:5" x14ac:dyDescent="0.25">
      <c r="A17" s="40">
        <f t="shared" ca="1" si="2"/>
        <v>46184</v>
      </c>
      <c r="B17" s="41">
        <f t="shared" ca="1" si="3"/>
        <v>6463</v>
      </c>
      <c r="C17" s="42">
        <f t="shared" ca="1" si="4"/>
        <v>0.98515143632913549</v>
      </c>
      <c r="D17" s="42">
        <f t="shared" ca="1" si="0"/>
        <v>-0.93477630796747091</v>
      </c>
      <c r="E17" s="42">
        <f t="shared" ca="1" si="1"/>
        <v>0.8274439713312276</v>
      </c>
    </row>
    <row r="18" spans="1:5" x14ac:dyDescent="0.25">
      <c r="A18" s="40">
        <f t="shared" ca="1" si="2"/>
        <v>46185</v>
      </c>
      <c r="B18" s="41">
        <f t="shared" ca="1" si="3"/>
        <v>6464</v>
      </c>
      <c r="C18" s="42">
        <f t="shared" ca="1" si="4"/>
        <v>0.92018395761939165</v>
      </c>
      <c r="D18" s="42">
        <f t="shared" ca="1" si="0"/>
        <v>-0.98481654384348538</v>
      </c>
      <c r="E18" s="42">
        <f t="shared" ca="1" si="1"/>
        <v>0.727344159833197</v>
      </c>
    </row>
    <row r="19" spans="1:5" x14ac:dyDescent="0.25">
      <c r="A19" s="40">
        <f t="shared" ca="1" si="2"/>
        <v>46186</v>
      </c>
      <c r="B19" s="41">
        <f t="shared" ca="1" si="3"/>
        <v>6465</v>
      </c>
      <c r="C19" s="42">
        <f t="shared" ca="1" si="4"/>
        <v>0.80687719112291556</v>
      </c>
      <c r="D19" s="42">
        <f t="shared" ca="1" si="0"/>
        <v>-0.99989914056818996</v>
      </c>
      <c r="E19" s="42">
        <f t="shared" ca="1" si="1"/>
        <v>0.60864164961178113</v>
      </c>
    </row>
    <row r="20" spans="1:5" x14ac:dyDescent="0.25">
      <c r="A20" s="40">
        <f t="shared" ca="1" si="2"/>
        <v>46187</v>
      </c>
      <c r="B20" s="41">
        <f t="shared" ca="1" si="3"/>
        <v>6466</v>
      </c>
      <c r="C20" s="42">
        <f t="shared" ca="1" si="4"/>
        <v>0.65118339057255836</v>
      </c>
      <c r="D20" s="42">
        <f t="shared" ca="1" si="0"/>
        <v>-0.97948871723501063</v>
      </c>
      <c r="E20" s="42">
        <f t="shared" ca="1" si="1"/>
        <v>0.47437239965185901</v>
      </c>
    </row>
    <row r="21" spans="1:5" x14ac:dyDescent="0.25">
      <c r="A21" s="40">
        <f t="shared" ca="1" si="2"/>
        <v>46188</v>
      </c>
      <c r="B21" s="41">
        <f t="shared" ca="1" si="3"/>
        <v>6467</v>
      </c>
      <c r="C21" s="42">
        <f t="shared" ca="1" si="4"/>
        <v>0.4612814938507932</v>
      </c>
      <c r="D21" s="42">
        <f t="shared" ca="1" si="0"/>
        <v>-0.92430977448173357</v>
      </c>
      <c r="E21" s="42">
        <f t="shared" ca="1" si="1"/>
        <v>0.32797050696232194</v>
      </c>
    </row>
    <row r="22" spans="1:5" x14ac:dyDescent="0.25">
      <c r="A22" s="40">
        <f ca="1">A21+1</f>
        <v>46189</v>
      </c>
      <c r="B22" s="41">
        <f t="shared" ca="1" si="3"/>
        <v>6468</v>
      </c>
      <c r="C22" s="42">
        <f t="shared" ca="1" si="4"/>
        <v>0.247147465392664</v>
      </c>
      <c r="D22" s="42">
        <f t="shared" ca="1" si="0"/>
        <v>-0.83632097717908538</v>
      </c>
      <c r="E22" s="42">
        <f t="shared" ca="1" si="1"/>
        <v>0.17318037543396361</v>
      </c>
    </row>
    <row r="23" spans="1:5" x14ac:dyDescent="0.25">
      <c r="A23" s="40">
        <f t="shared" ca="1" si="2"/>
        <v>46190</v>
      </c>
      <c r="B23" s="41">
        <f t="shared" ca="1" si="3"/>
        <v>6469</v>
      </c>
      <c r="C23" s="42">
        <f t="shared" ca="1" si="4"/>
        <v>2.0030236831431153E-2</v>
      </c>
      <c r="D23" s="42">
        <f t="shared" ca="1" si="0"/>
        <v>-0.71864562849084379</v>
      </c>
      <c r="E23" s="42">
        <f t="shared" ca="1" si="1"/>
        <v>1.3960948220479177E-2</v>
      </c>
    </row>
    <row r="24" spans="1:5" x14ac:dyDescent="0.25">
      <c r="A24" s="40">
        <f t="shared" ca="1" si="2"/>
        <v>46191</v>
      </c>
      <c r="B24" s="41">
        <f t="shared" ca="1" si="3"/>
        <v>6470</v>
      </c>
      <c r="C24" s="42">
        <f t="shared" ca="1" si="4"/>
        <v>-0.20813922414073857</v>
      </c>
      <c r="D24" s="42">
        <f t="shared" ca="1" si="0"/>
        <v>-0.57546080322497961</v>
      </c>
      <c r="E24" s="42">
        <f t="shared" ca="1" si="1"/>
        <v>-0.14561554697809467</v>
      </c>
    </row>
    <row r="25" spans="1:5" x14ac:dyDescent="0.25">
      <c r="A25" s="40">
        <f ca="1">A24+1</f>
        <v>46192</v>
      </c>
      <c r="B25" s="41">
        <f t="shared" ca="1" si="3"/>
        <v>6471</v>
      </c>
      <c r="C25" s="42">
        <f t="shared" ca="1" si="4"/>
        <v>-0.42537467374442339</v>
      </c>
      <c r="D25" s="42">
        <f t="shared" ca="1" si="0"/>
        <v>-0.41184907588051223</v>
      </c>
      <c r="E25" s="42">
        <f t="shared" ca="1" si="1"/>
        <v>-0.30146775002173598</v>
      </c>
    </row>
    <row r="26" spans="1:5" x14ac:dyDescent="0.25">
      <c r="A26" s="40">
        <f t="shared" ca="1" si="2"/>
        <v>46193</v>
      </c>
      <c r="B26" s="41">
        <f t="shared" ca="1" si="3"/>
        <v>6472</v>
      </c>
      <c r="C26" s="42">
        <f t="shared" ca="1" si="4"/>
        <v>-0.62026425586851341</v>
      </c>
      <c r="D26" s="42">
        <f t="shared" ca="1" si="0"/>
        <v>-0.233618106538173</v>
      </c>
      <c r="E26" s="42">
        <f t="shared" ca="1" si="1"/>
        <v>-0.44960955400115554</v>
      </c>
    </row>
    <row r="27" spans="1:5" x14ac:dyDescent="0.25">
      <c r="A27" s="40">
        <f t="shared" ca="1" si="2"/>
        <v>46194</v>
      </c>
      <c r="B27" s="41">
        <f t="shared" ca="1" si="3"/>
        <v>6473</v>
      </c>
      <c r="C27" s="42">
        <f t="shared" ca="1" si="4"/>
        <v>-0.78256999199219979</v>
      </c>
      <c r="D27" s="42">
        <f t="shared" ca="1" si="0"/>
        <v>-4.7094488662844047E-2</v>
      </c>
      <c r="E27" s="42">
        <f t="shared" ca="1" si="1"/>
        <v>-0.58625205471056829</v>
      </c>
    </row>
    <row r="28" spans="1:5" x14ac:dyDescent="0.25">
      <c r="A28" s="40">
        <f t="shared" ca="1" si="2"/>
        <v>46195</v>
      </c>
      <c r="B28" s="41">
        <f t="shared" ca="1" si="3"/>
        <v>6474</v>
      </c>
      <c r="C28" s="42">
        <f t="shared" ca="1" si="4"/>
        <v>-0.90376560470981748</v>
      </c>
      <c r="D28" s="42">
        <f t="shared" ca="1" si="0"/>
        <v>0.14110082345112784</v>
      </c>
      <c r="E28" s="42">
        <f t="shared" ca="1" si="1"/>
        <v>-0.70790045640720956</v>
      </c>
    </row>
    <row r="29" spans="1:5" x14ac:dyDescent="0.25">
      <c r="A29" s="40">
        <f ca="1">A28+1</f>
        <v>46196</v>
      </c>
      <c r="B29" s="41">
        <f t="shared" ca="1" si="3"/>
        <v>6475</v>
      </c>
      <c r="C29" s="42">
        <f t="shared" ca="1" si="4"/>
        <v>-0.97748442184166584</v>
      </c>
      <c r="D29" s="42">
        <f t="shared" ca="1" si="0"/>
        <v>0.32428753604189059</v>
      </c>
      <c r="E29" s="42">
        <f t="shared" ca="1" si="1"/>
        <v>-0.81144345540330709</v>
      </c>
    </row>
    <row r="30" spans="1:5" x14ac:dyDescent="0.25">
      <c r="A30" s="40">
        <f t="shared" ca="1" si="2"/>
        <v>46197</v>
      </c>
      <c r="B30" s="41">
        <f t="shared" ca="1" si="3"/>
        <v>6476</v>
      </c>
      <c r="C30" s="42">
        <f t="shared" ca="1" si="4"/>
        <v>-0.99985383173658737</v>
      </c>
      <c r="D30" s="42">
        <f t="shared" ca="1" si="0"/>
        <v>0.49596314360798688</v>
      </c>
      <c r="E30" s="42">
        <f t="shared" ca="1" si="1"/>
        <v>-0.89423281538727462</v>
      </c>
    </row>
    <row r="31" spans="1:5" x14ac:dyDescent="0.25">
      <c r="A31" s="40">
        <f t="shared" ca="1" si="2"/>
        <v>46198</v>
      </c>
      <c r="B31" s="41">
        <f t="shared" ca="1" si="3"/>
        <v>6477</v>
      </c>
      <c r="C31" s="42">
        <f t="shared" ca="1" si="4"/>
        <v>-0.96969872007675728</v>
      </c>
      <c r="D31" s="42">
        <f t="shared" ca="1" si="0"/>
        <v>0.65003374574072736</v>
      </c>
      <c r="E31" s="42">
        <f t="shared" ca="1" si="1"/>
        <v>-0.95415109924224362</v>
      </c>
    </row>
    <row r="32" spans="1:5" x14ac:dyDescent="0.25">
      <c r="A32" s="40">
        <f t="shared" ca="1" si="2"/>
        <v>46199</v>
      </c>
      <c r="B32" s="41">
        <f t="shared" ca="1" si="3"/>
        <v>6478</v>
      </c>
      <c r="C32" s="42">
        <f t="shared" ca="1" si="4"/>
        <v>-0.88860320122307945</v>
      </c>
      <c r="D32" s="42">
        <f t="shared" ca="1" si="0"/>
        <v>0.78103035986689673</v>
      </c>
      <c r="E32" s="42">
        <f t="shared" ca="1" si="1"/>
        <v>-0.9896658250359559</v>
      </c>
    </row>
    <row r="33" spans="1:5" x14ac:dyDescent="0.25">
      <c r="A33" s="40">
        <f t="shared" ca="1" si="2"/>
        <v>46200</v>
      </c>
      <c r="B33" s="41">
        <f t="shared" ca="1" si="3"/>
        <v>6479</v>
      </c>
      <c r="C33" s="42">
        <f t="shared" ca="1" si="4"/>
        <v>-0.76082740119863523</v>
      </c>
      <c r="D33" s="42">
        <f t="shared" ca="1" si="0"/>
        <v>0.88430305154567512</v>
      </c>
      <c r="E33" s="42">
        <f t="shared" ca="1" si="1"/>
        <v>-0.99986866108717254</v>
      </c>
    </row>
    <row r="34" spans="1:5" x14ac:dyDescent="0.25">
      <c r="A34" s="40">
        <f t="shared" ca="1" si="2"/>
        <v>46201</v>
      </c>
      <c r="B34" s="41">
        <f t="shared" ca="1" si="3"/>
        <v>6480</v>
      </c>
      <c r="C34" s="42">
        <f t="shared" ca="1" si="4"/>
        <v>-0.59308366389600731</v>
      </c>
      <c r="D34" s="42">
        <f t="shared" ca="1" si="0"/>
        <v>0.95618599132696547</v>
      </c>
      <c r="E34" s="42">
        <f t="shared" ca="1" si="1"/>
        <v>-0.98449865763421029</v>
      </c>
    </row>
    <row r="35" spans="1:5" x14ac:dyDescent="0.25">
      <c r="A35" s="40">
        <f t="shared" ca="1" si="2"/>
        <v>46202</v>
      </c>
      <c r="B35" s="41">
        <f t="shared" ca="1" si="3"/>
        <v>6481</v>
      </c>
      <c r="C35" s="42">
        <f t="shared" ca="1" si="4"/>
        <v>-0.39418393689032771</v>
      </c>
      <c r="D35" s="42">
        <f t="shared" ca="1" si="0"/>
        <v>0.99412757923300787</v>
      </c>
      <c r="E35" s="42">
        <f t="shared" ca="1" si="1"/>
        <v>-0.94394892093869942</v>
      </c>
    </row>
    <row r="36" spans="1:5" x14ac:dyDescent="0.25">
      <c r="A36" s="40">
        <f t="shared" ca="1" si="2"/>
        <v>46203</v>
      </c>
      <c r="B36" s="41">
        <f t="shared" ca="1" si="3"/>
        <v>6482</v>
      </c>
      <c r="C36" s="42">
        <f t="shared" ca="1" si="4"/>
        <v>-0.17457686043452625</v>
      </c>
      <c r="D36" s="42">
        <f t="shared" ca="1" si="0"/>
        <v>0.99678101788672235</v>
      </c>
      <c r="E36" s="42">
        <f t="shared" ca="1" si="1"/>
        <v>-0.87925655912087763</v>
      </c>
    </row>
    <row r="37" spans="1:5" x14ac:dyDescent="0.25">
      <c r="A37" s="40">
        <f t="shared" ca="1" si="2"/>
        <v>46204</v>
      </c>
      <c r="B37" s="41">
        <f t="shared" ca="1" si="3"/>
        <v>6483</v>
      </c>
      <c r="C37" s="42">
        <f t="shared" ca="1" si="4"/>
        <v>5.4201122583866508E-2</v>
      </c>
      <c r="D37" s="42">
        <f t="shared" ca="1" si="0"/>
        <v>0.96405211923694689</v>
      </c>
      <c r="E37" s="42">
        <f t="shared" ca="1" si="1"/>
        <v>-0.79207615687948063</v>
      </c>
    </row>
    <row r="38" spans="1:5" x14ac:dyDescent="0.25">
      <c r="A38" s="40">
        <f t="shared" ca="1" si="2"/>
        <v>46205</v>
      </c>
      <c r="B38" s="41">
        <f t="shared" ca="1" si="3"/>
        <v>6484</v>
      </c>
      <c r="C38" s="42">
        <f t="shared" ca="1" si="4"/>
        <v>0.28013180138357635</v>
      </c>
      <c r="D38" s="42">
        <f t="shared" ca="1" si="0"/>
        <v>0.89710264791503724</v>
      </c>
      <c r="E38" s="42">
        <f t="shared" ca="1" si="1"/>
        <v>-0.68463745750039595</v>
      </c>
    </row>
  </sheetData>
  <mergeCells count="2">
    <mergeCell ref="D1:F1"/>
    <mergeCell ref="A5:E5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"/>
  <sheetViews>
    <sheetView topLeftCell="A13" workbookViewId="0">
      <selection activeCell="H4" sqref="H4"/>
    </sheetView>
  </sheetViews>
  <sheetFormatPr defaultRowHeight="15" x14ac:dyDescent="0.25"/>
  <cols>
    <col min="1" max="1" width="33.42578125" customWidth="1"/>
    <col min="3" max="3" width="11" customWidth="1"/>
    <col min="7" max="7" width="47.7109375" customWidth="1"/>
  </cols>
  <sheetData>
    <row r="1" spans="1:8" x14ac:dyDescent="0.25">
      <c r="A1" s="148" t="s">
        <v>79</v>
      </c>
      <c r="B1" s="148"/>
      <c r="C1" s="148"/>
      <c r="D1" s="148"/>
    </row>
    <row r="2" spans="1:8" x14ac:dyDescent="0.25">
      <c r="A2" s="41"/>
      <c r="B2" s="41">
        <v>2019</v>
      </c>
      <c r="C2" s="41">
        <v>2020</v>
      </c>
      <c r="D2" s="41">
        <v>2021</v>
      </c>
      <c r="G2" s="41" t="s">
        <v>99</v>
      </c>
      <c r="H2" s="47">
        <f>MAX(B3:D14)</f>
        <v>116.7</v>
      </c>
    </row>
    <row r="3" spans="1:8" x14ac:dyDescent="0.25">
      <c r="A3" s="41" t="s">
        <v>80</v>
      </c>
      <c r="B3" s="47">
        <v>52.8</v>
      </c>
      <c r="C3" s="47">
        <v>41.4</v>
      </c>
      <c r="D3" s="47">
        <v>57.1</v>
      </c>
      <c r="G3" s="41" t="s">
        <v>100</v>
      </c>
      <c r="H3" s="47">
        <f>MIN(B3:D14)</f>
        <v>0</v>
      </c>
    </row>
    <row r="4" spans="1:8" x14ac:dyDescent="0.25">
      <c r="A4" s="41" t="s">
        <v>81</v>
      </c>
      <c r="B4" s="47">
        <v>27.5</v>
      </c>
      <c r="C4" s="47">
        <v>33.700000000000003</v>
      </c>
      <c r="D4" s="47">
        <v>59.5</v>
      </c>
      <c r="G4" s="41" t="s">
        <v>101</v>
      </c>
      <c r="H4" s="47">
        <f>SUM(B3:D14)</f>
        <v>1438.5000000000002</v>
      </c>
    </row>
    <row r="5" spans="1:8" x14ac:dyDescent="0.25">
      <c r="A5" s="41" t="s">
        <v>82</v>
      </c>
      <c r="B5" s="47">
        <v>36.6</v>
      </c>
      <c r="C5" s="47">
        <v>33.700000000000003</v>
      </c>
      <c r="D5" s="47">
        <v>26.7</v>
      </c>
      <c r="G5" s="41" t="s">
        <v>103</v>
      </c>
      <c r="H5" s="47">
        <f>AVERAGE(B3:D14)</f>
        <v>39.958333333333343</v>
      </c>
    </row>
    <row r="6" spans="1:8" x14ac:dyDescent="0.25">
      <c r="A6" s="41" t="s">
        <v>83</v>
      </c>
      <c r="B6" s="47">
        <v>4.5999999999999996</v>
      </c>
      <c r="C6" s="47">
        <v>16.399999999999999</v>
      </c>
      <c r="D6" s="47">
        <v>77.2</v>
      </c>
      <c r="G6" s="41" t="s">
        <v>102</v>
      </c>
      <c r="H6" s="41">
        <f>COUNTIF(B3:D14,"&lt;15")</f>
        <v>6</v>
      </c>
    </row>
    <row r="7" spans="1:8" x14ac:dyDescent="0.25">
      <c r="A7" s="41" t="s">
        <v>84</v>
      </c>
      <c r="B7" s="47">
        <v>33.5</v>
      </c>
      <c r="C7" s="47">
        <v>106.5</v>
      </c>
      <c r="D7" s="47">
        <v>77.400000000000006</v>
      </c>
    </row>
    <row r="8" spans="1:8" x14ac:dyDescent="0.25">
      <c r="A8" s="41" t="s">
        <v>85</v>
      </c>
      <c r="B8" s="47">
        <v>46</v>
      </c>
      <c r="C8" s="47">
        <v>64.900000000000006</v>
      </c>
      <c r="D8" s="47">
        <v>55.5</v>
      </c>
    </row>
    <row r="9" spans="1:8" x14ac:dyDescent="0.25">
      <c r="A9" s="41" t="s">
        <v>86</v>
      </c>
      <c r="B9" s="47">
        <v>42</v>
      </c>
      <c r="C9" s="47">
        <v>116.7</v>
      </c>
      <c r="D9" s="47">
        <v>37.4</v>
      </c>
    </row>
    <row r="10" spans="1:8" x14ac:dyDescent="0.25">
      <c r="A10" s="41" t="s">
        <v>87</v>
      </c>
      <c r="B10" s="47">
        <v>38.1</v>
      </c>
      <c r="C10" s="47">
        <v>27.1</v>
      </c>
      <c r="D10" s="47">
        <v>83.7</v>
      </c>
    </row>
    <row r="11" spans="1:8" x14ac:dyDescent="0.25">
      <c r="A11" s="41" t="s">
        <v>88</v>
      </c>
      <c r="B11" s="47">
        <v>14.2</v>
      </c>
      <c r="C11" s="47">
        <v>62.5</v>
      </c>
      <c r="D11" s="47">
        <v>3.4</v>
      </c>
    </row>
    <row r="12" spans="1:8" x14ac:dyDescent="0.25">
      <c r="A12" s="41" t="s">
        <v>89</v>
      </c>
      <c r="B12" s="47">
        <v>46</v>
      </c>
      <c r="C12" s="47">
        <v>22.4</v>
      </c>
      <c r="D12" s="47">
        <v>0</v>
      </c>
    </row>
    <row r="13" spans="1:8" x14ac:dyDescent="0.25">
      <c r="A13" s="41" t="s">
        <v>90</v>
      </c>
      <c r="B13" s="47">
        <v>15.6</v>
      </c>
      <c r="C13" s="47">
        <v>36.700000000000003</v>
      </c>
      <c r="D13" s="47">
        <v>0</v>
      </c>
    </row>
    <row r="14" spans="1:8" x14ac:dyDescent="0.25">
      <c r="A14" s="41" t="s">
        <v>91</v>
      </c>
      <c r="B14" s="47">
        <v>22</v>
      </c>
      <c r="C14" s="47">
        <v>19.7</v>
      </c>
      <c r="D14" s="47">
        <v>0</v>
      </c>
    </row>
    <row r="16" spans="1:8" x14ac:dyDescent="0.25">
      <c r="A16" t="s">
        <v>92</v>
      </c>
      <c r="C16" t="s">
        <v>93</v>
      </c>
    </row>
    <row r="17" spans="1:3" x14ac:dyDescent="0.25">
      <c r="A17" s="41" t="str">
        <f>A3</f>
        <v>январь</v>
      </c>
      <c r="B17" s="47">
        <f>D3</f>
        <v>57.1</v>
      </c>
      <c r="C17" s="41" t="str">
        <f>IF(B17&lt;15,"засуха",IF(B17&gt;70,"дождливо","нормально"))</f>
        <v>нормально</v>
      </c>
    </row>
    <row r="18" spans="1:3" x14ac:dyDescent="0.25">
      <c r="A18" s="41" t="str">
        <f t="shared" ref="A18:A27" si="0">A4</f>
        <v>февраль</v>
      </c>
      <c r="B18" s="47">
        <f t="shared" ref="B18:B28" si="1">D4</f>
        <v>59.5</v>
      </c>
      <c r="C18" s="41" t="str">
        <f t="shared" ref="C18:C28" si="2">IF(B18&lt;15,"засуха",IF(B18&gt;70,"дождливо","нормально"))</f>
        <v>нормально</v>
      </c>
    </row>
    <row r="19" spans="1:3" x14ac:dyDescent="0.25">
      <c r="A19" s="41" t="str">
        <f t="shared" si="0"/>
        <v>март</v>
      </c>
      <c r="B19" s="47">
        <f t="shared" si="1"/>
        <v>26.7</v>
      </c>
      <c r="C19" s="41" t="str">
        <f t="shared" si="2"/>
        <v>нормально</v>
      </c>
    </row>
    <row r="20" spans="1:3" x14ac:dyDescent="0.25">
      <c r="A20" s="41" t="str">
        <f t="shared" si="0"/>
        <v>апрель</v>
      </c>
      <c r="B20" s="47">
        <f t="shared" si="1"/>
        <v>77.2</v>
      </c>
      <c r="C20" s="41" t="str">
        <f t="shared" si="2"/>
        <v>дождливо</v>
      </c>
    </row>
    <row r="21" spans="1:3" x14ac:dyDescent="0.25">
      <c r="A21" s="41" t="str">
        <f t="shared" si="0"/>
        <v>май</v>
      </c>
      <c r="B21" s="47">
        <f t="shared" si="1"/>
        <v>77.400000000000006</v>
      </c>
      <c r="C21" s="41" t="str">
        <f t="shared" si="2"/>
        <v>дождливо</v>
      </c>
    </row>
    <row r="22" spans="1:3" x14ac:dyDescent="0.25">
      <c r="A22" s="41" t="str">
        <f t="shared" si="0"/>
        <v>июнь</v>
      </c>
      <c r="B22" s="47">
        <f t="shared" si="1"/>
        <v>55.5</v>
      </c>
      <c r="C22" s="41" t="str">
        <f t="shared" si="2"/>
        <v>нормально</v>
      </c>
    </row>
    <row r="23" spans="1:3" x14ac:dyDescent="0.25">
      <c r="A23" s="41" t="str">
        <f t="shared" si="0"/>
        <v>июль</v>
      </c>
      <c r="B23" s="47">
        <f t="shared" si="1"/>
        <v>37.4</v>
      </c>
      <c r="C23" s="41" t="str">
        <f t="shared" si="2"/>
        <v>нормально</v>
      </c>
    </row>
    <row r="24" spans="1:3" x14ac:dyDescent="0.25">
      <c r="A24" s="41" t="str">
        <f t="shared" si="0"/>
        <v>август</v>
      </c>
      <c r="B24" s="47">
        <f t="shared" si="1"/>
        <v>83.7</v>
      </c>
      <c r="C24" s="41" t="str">
        <f t="shared" si="2"/>
        <v>дождливо</v>
      </c>
    </row>
    <row r="25" spans="1:3" x14ac:dyDescent="0.25">
      <c r="A25" s="41" t="str">
        <f t="shared" si="0"/>
        <v>сентябрь</v>
      </c>
      <c r="B25" s="47">
        <f t="shared" si="1"/>
        <v>3.4</v>
      </c>
      <c r="C25" s="41" t="str">
        <f t="shared" si="2"/>
        <v>засуха</v>
      </c>
    </row>
    <row r="26" spans="1:3" x14ac:dyDescent="0.25">
      <c r="A26" s="41" t="str">
        <f>A12</f>
        <v>октябрь</v>
      </c>
      <c r="B26" s="47">
        <f t="shared" si="1"/>
        <v>0</v>
      </c>
      <c r="C26" s="41" t="str">
        <f t="shared" si="2"/>
        <v>засуха</v>
      </c>
    </row>
    <row r="27" spans="1:3" x14ac:dyDescent="0.25">
      <c r="A27" s="41" t="str">
        <f t="shared" si="0"/>
        <v>ноябрь</v>
      </c>
      <c r="B27" s="47">
        <f t="shared" si="1"/>
        <v>0</v>
      </c>
      <c r="C27" s="41" t="str">
        <f t="shared" si="2"/>
        <v>засуха</v>
      </c>
    </row>
    <row r="28" spans="1:3" x14ac:dyDescent="0.25">
      <c r="A28" s="41" t="str">
        <f>A14</f>
        <v>декабрь</v>
      </c>
      <c r="B28" s="47">
        <f t="shared" si="1"/>
        <v>0</v>
      </c>
      <c r="C28" s="41" t="str">
        <f t="shared" si="2"/>
        <v>засуха</v>
      </c>
    </row>
    <row r="30" spans="1:3" x14ac:dyDescent="0.25">
      <c r="A30" s="41" t="s">
        <v>94</v>
      </c>
      <c r="B30" s="47">
        <f>MAX(B17:B28)</f>
        <v>83.7</v>
      </c>
    </row>
    <row r="31" spans="1:3" x14ac:dyDescent="0.25">
      <c r="A31" s="41" t="s">
        <v>95</v>
      </c>
      <c r="B31" s="47">
        <f>MIN(B17:B28)</f>
        <v>0</v>
      </c>
    </row>
    <row r="32" spans="1:3" x14ac:dyDescent="0.25">
      <c r="A32" s="41" t="s">
        <v>96</v>
      </c>
      <c r="B32" s="47">
        <f>SUM(B17:B28)</f>
        <v>477.89999999999992</v>
      </c>
    </row>
    <row r="33" spans="1:2" x14ac:dyDescent="0.25">
      <c r="A33" s="41" t="s">
        <v>97</v>
      </c>
      <c r="B33" s="47">
        <f>AVERAGE(B17:B28)</f>
        <v>39.824999999999996</v>
      </c>
    </row>
    <row r="34" spans="1:2" x14ac:dyDescent="0.25">
      <c r="A34" s="41" t="s">
        <v>98</v>
      </c>
      <c r="B34" s="41">
        <f>COUNTIF(B17:B28,"&lt;15")</f>
        <v>4</v>
      </c>
    </row>
    <row r="35" spans="1:2" x14ac:dyDescent="0.25">
      <c r="A35" s="24"/>
      <c r="B35" s="24"/>
    </row>
    <row r="36" spans="1:2" x14ac:dyDescent="0.25">
      <c r="A36" s="24"/>
      <c r="B36" s="24"/>
    </row>
    <row r="37" spans="1:2" x14ac:dyDescent="0.25">
      <c r="A37" s="24"/>
      <c r="B37" s="24"/>
    </row>
  </sheetData>
  <mergeCells count="1">
    <mergeCell ref="A1:D1"/>
  </mergeCells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"/>
  <sheetViews>
    <sheetView view="pageLayout" zoomScaleNormal="100" workbookViewId="0">
      <selection activeCell="B2" sqref="B2:G6"/>
    </sheetView>
  </sheetViews>
  <sheetFormatPr defaultRowHeight="15" x14ac:dyDescent="0.25"/>
  <cols>
    <col min="1" max="1" width="17.140625" customWidth="1"/>
    <col min="8" max="8" width="2.140625" hidden="1" customWidth="1"/>
  </cols>
  <sheetData>
    <row r="1" spans="1:13" x14ac:dyDescent="0.25">
      <c r="A1" s="146" t="s">
        <v>105</v>
      </c>
      <c r="B1" s="148"/>
      <c r="C1" s="148"/>
      <c r="D1" s="148"/>
      <c r="E1" s="148"/>
      <c r="F1" s="148"/>
      <c r="G1" s="148"/>
    </row>
    <row r="2" spans="1:13" x14ac:dyDescent="0.25">
      <c r="A2" s="41" t="s">
        <v>104</v>
      </c>
      <c r="B2" s="41" t="s">
        <v>80</v>
      </c>
      <c r="C2" s="41" t="s">
        <v>81</v>
      </c>
      <c r="D2" s="41" t="s">
        <v>82</v>
      </c>
      <c r="E2" s="41" t="s">
        <v>83</v>
      </c>
      <c r="F2" s="41" t="s">
        <v>84</v>
      </c>
      <c r="G2" s="41" t="s">
        <v>85</v>
      </c>
      <c r="H2" s="41" t="s">
        <v>110</v>
      </c>
    </row>
    <row r="3" spans="1:13" x14ac:dyDescent="0.25">
      <c r="A3" s="48" t="s">
        <v>107</v>
      </c>
      <c r="B3" s="50">
        <v>95780</v>
      </c>
      <c r="C3" s="50">
        <v>86982</v>
      </c>
      <c r="D3" s="50">
        <v>91653</v>
      </c>
      <c r="E3" s="50">
        <v>95780</v>
      </c>
      <c r="F3" s="50">
        <v>88440</v>
      </c>
      <c r="G3" s="50">
        <v>85700</v>
      </c>
      <c r="H3" s="50">
        <f>AVERAGE(B3:G3)</f>
        <v>90722.5</v>
      </c>
    </row>
    <row r="4" spans="1:13" x14ac:dyDescent="0.25">
      <c r="A4" s="48" t="s">
        <v>108</v>
      </c>
      <c r="B4" s="50">
        <v>77894</v>
      </c>
      <c r="C4" s="50">
        <v>84560</v>
      </c>
      <c r="D4" s="50">
        <v>80080</v>
      </c>
      <c r="E4" s="50">
        <v>81200</v>
      </c>
      <c r="F4" s="50">
        <v>80150</v>
      </c>
      <c r="G4" s="50">
        <v>91400</v>
      </c>
      <c r="H4" s="50">
        <f>AVERAGE(B4:G4)</f>
        <v>82547.333333333328</v>
      </c>
    </row>
    <row r="5" spans="1:13" x14ac:dyDescent="0.25">
      <c r="A5" s="48" t="s">
        <v>109</v>
      </c>
      <c r="B5" s="50">
        <v>34600</v>
      </c>
      <c r="C5" s="50">
        <v>42567</v>
      </c>
      <c r="D5" s="50">
        <v>40870</v>
      </c>
      <c r="E5" s="50">
        <v>39845</v>
      </c>
      <c r="F5" s="50">
        <v>40500</v>
      </c>
      <c r="G5" s="50">
        <v>43800</v>
      </c>
      <c r="H5" s="50">
        <f>AVERAGE(B5:G5)</f>
        <v>40363.666666666664</v>
      </c>
    </row>
    <row r="6" spans="1:13" x14ac:dyDescent="0.25">
      <c r="A6" s="48" t="s">
        <v>106</v>
      </c>
      <c r="B6" s="50">
        <v>40000</v>
      </c>
      <c r="C6" s="50">
        <v>35000</v>
      </c>
      <c r="D6" s="50">
        <v>44000</v>
      </c>
      <c r="E6" s="50">
        <v>42350</v>
      </c>
      <c r="F6" s="50">
        <v>27500</v>
      </c>
      <c r="G6" s="50">
        <v>39800</v>
      </c>
      <c r="H6" s="50">
        <f>AVERAGE(B6:G6)</f>
        <v>38108.333333333336</v>
      </c>
    </row>
    <row r="14" spans="1:13" x14ac:dyDescent="0.25">
      <c r="I14" s="49"/>
      <c r="J14" s="49"/>
      <c r="K14" s="49"/>
      <c r="L14" s="49"/>
      <c r="M14" s="49"/>
    </row>
    <row r="15" spans="1:13" x14ac:dyDescent="0.25">
      <c r="G15" s="49"/>
      <c r="I15" s="49"/>
      <c r="J15" s="49"/>
      <c r="K15" s="49"/>
      <c r="L15" s="49"/>
    </row>
  </sheetData>
  <sortState ref="A3:H6">
    <sortCondition descending="1" ref="H2"/>
  </sortState>
  <mergeCells count="1">
    <mergeCell ref="A1:G1"/>
  </mergeCells>
  <pageMargins left="0.7" right="0.7" top="0.75" bottom="0.75" header="0.3" footer="0.3"/>
  <pageSetup paperSize="9" orientation="portrait" verticalDpi="0" r:id="rId1"/>
  <headerFooter>
    <oddHeader>&amp;CСимаков Владислав</oddHeader>
    <oddFooter>&amp;CДата:&amp;D
Время:&amp;T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16"/>
  <sheetViews>
    <sheetView workbookViewId="0">
      <selection sqref="A1:H19"/>
    </sheetView>
  </sheetViews>
  <sheetFormatPr defaultRowHeight="15" x14ac:dyDescent="0.25"/>
  <cols>
    <col min="2" max="2" width="16.7109375" customWidth="1"/>
    <col min="3" max="3" width="14.5703125" customWidth="1"/>
    <col min="5" max="5" width="16.28515625" customWidth="1"/>
    <col min="6" max="6" width="13.85546875" style="57" customWidth="1"/>
    <col min="7" max="7" width="10.85546875" customWidth="1"/>
    <col min="8" max="8" width="9.5703125" bestFit="1" customWidth="1"/>
  </cols>
  <sheetData>
    <row r="1" spans="1:23" x14ac:dyDescent="0.25">
      <c r="A1" s="58" t="s">
        <v>68</v>
      </c>
      <c r="B1" s="58" t="s">
        <v>111</v>
      </c>
      <c r="C1" s="52" t="s">
        <v>112</v>
      </c>
      <c r="D1" s="52" t="s">
        <v>113</v>
      </c>
      <c r="E1" s="52" t="s">
        <v>114</v>
      </c>
      <c r="F1" s="59" t="s">
        <v>115</v>
      </c>
      <c r="G1" s="52" t="s">
        <v>116</v>
      </c>
      <c r="H1" s="52" t="s">
        <v>117</v>
      </c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</row>
    <row r="2" spans="1:23" x14ac:dyDescent="0.25">
      <c r="A2" s="51">
        <v>6</v>
      </c>
      <c r="B2" s="5" t="s">
        <v>128</v>
      </c>
      <c r="C2" s="51">
        <v>11014</v>
      </c>
      <c r="D2" s="53">
        <v>1</v>
      </c>
      <c r="E2" s="5" t="s">
        <v>129</v>
      </c>
      <c r="F2" s="26">
        <v>7600</v>
      </c>
      <c r="G2" s="60">
        <f t="shared" ref="G2:G19" si="0">F2*0.14</f>
        <v>1064</v>
      </c>
      <c r="H2" s="60">
        <f t="shared" ref="H2:H19" si="1">F2-G2</f>
        <v>6536</v>
      </c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</row>
    <row r="3" spans="1:23" x14ac:dyDescent="0.25">
      <c r="A3" s="51">
        <v>2</v>
      </c>
      <c r="B3" s="5" t="s">
        <v>120</v>
      </c>
      <c r="C3" s="51">
        <v>11028</v>
      </c>
      <c r="D3" s="51">
        <v>1</v>
      </c>
      <c r="E3" s="5" t="s">
        <v>121</v>
      </c>
      <c r="F3" s="26">
        <v>4500</v>
      </c>
      <c r="G3" s="60">
        <f t="shared" si="0"/>
        <v>630.00000000000011</v>
      </c>
      <c r="H3" s="60">
        <f t="shared" si="1"/>
        <v>3870</v>
      </c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</row>
    <row r="4" spans="1:23" x14ac:dyDescent="0.25">
      <c r="A4" s="51">
        <v>8</v>
      </c>
      <c r="B4" s="5" t="s">
        <v>131</v>
      </c>
      <c r="C4" s="51">
        <v>11019</v>
      </c>
      <c r="D4" s="51">
        <v>1</v>
      </c>
      <c r="E4" s="5" t="s">
        <v>127</v>
      </c>
      <c r="F4" s="26">
        <v>6450</v>
      </c>
      <c r="G4" s="60">
        <f t="shared" si="0"/>
        <v>903.00000000000011</v>
      </c>
      <c r="H4" s="60">
        <f t="shared" si="1"/>
        <v>5547</v>
      </c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</row>
    <row r="5" spans="1:23" x14ac:dyDescent="0.25">
      <c r="A5" s="51">
        <v>13</v>
      </c>
      <c r="B5" s="5" t="s">
        <v>137</v>
      </c>
      <c r="C5" s="51">
        <v>11045</v>
      </c>
      <c r="D5" s="51">
        <v>1</v>
      </c>
      <c r="E5" s="5" t="s">
        <v>138</v>
      </c>
      <c r="F5" s="26">
        <v>2800</v>
      </c>
      <c r="G5" s="60">
        <f t="shared" si="0"/>
        <v>392.00000000000006</v>
      </c>
      <c r="H5" s="60">
        <f t="shared" si="1"/>
        <v>2408</v>
      </c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</row>
    <row r="6" spans="1:23" x14ac:dyDescent="0.25">
      <c r="A6" s="51">
        <v>14</v>
      </c>
      <c r="B6" s="5" t="s">
        <v>139</v>
      </c>
      <c r="C6" s="51">
        <v>11023</v>
      </c>
      <c r="D6" s="39">
        <v>1</v>
      </c>
      <c r="E6" s="5" t="s">
        <v>140</v>
      </c>
      <c r="F6" s="26">
        <v>7200</v>
      </c>
      <c r="G6" s="60">
        <f t="shared" si="0"/>
        <v>1008.0000000000001</v>
      </c>
      <c r="H6" s="60">
        <f t="shared" si="1"/>
        <v>6192</v>
      </c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</row>
    <row r="7" spans="1:23" x14ac:dyDescent="0.25">
      <c r="A7" s="51">
        <v>17</v>
      </c>
      <c r="B7" s="5" t="s">
        <v>144</v>
      </c>
      <c r="C7" s="51">
        <v>11009</v>
      </c>
      <c r="D7" s="53">
        <v>1</v>
      </c>
      <c r="E7" s="5" t="s">
        <v>145</v>
      </c>
      <c r="F7" s="26">
        <v>9850</v>
      </c>
      <c r="G7" s="60">
        <f t="shared" si="0"/>
        <v>1379.0000000000002</v>
      </c>
      <c r="H7" s="60">
        <f t="shared" si="1"/>
        <v>8471</v>
      </c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</row>
    <row r="8" spans="1:23" x14ac:dyDescent="0.25">
      <c r="A8" s="51">
        <v>4</v>
      </c>
      <c r="B8" s="5" t="s">
        <v>124</v>
      </c>
      <c r="C8" s="51">
        <v>11036</v>
      </c>
      <c r="D8" s="51">
        <v>1</v>
      </c>
      <c r="E8" s="5" t="s">
        <v>125</v>
      </c>
      <c r="F8" s="26">
        <v>4450</v>
      </c>
      <c r="G8" s="60">
        <f t="shared" si="0"/>
        <v>623.00000000000011</v>
      </c>
      <c r="H8" s="60">
        <f t="shared" si="1"/>
        <v>3827</v>
      </c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</row>
    <row r="9" spans="1:23" x14ac:dyDescent="0.25">
      <c r="A9" s="51">
        <v>18</v>
      </c>
      <c r="B9" s="5" t="s">
        <v>146</v>
      </c>
      <c r="C9" s="51">
        <v>11003</v>
      </c>
      <c r="D9" s="51">
        <v>1</v>
      </c>
      <c r="E9" s="5" t="s">
        <v>147</v>
      </c>
      <c r="F9" s="26">
        <v>7800</v>
      </c>
      <c r="G9" s="60">
        <f t="shared" si="0"/>
        <v>1092</v>
      </c>
      <c r="H9" s="60">
        <f t="shared" si="1"/>
        <v>6708</v>
      </c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</row>
    <row r="10" spans="1:23" x14ac:dyDescent="0.25">
      <c r="A10" s="51">
        <v>7</v>
      </c>
      <c r="B10" s="5" t="s">
        <v>130</v>
      </c>
      <c r="C10" s="51">
        <v>11025</v>
      </c>
      <c r="D10" s="51">
        <v>2</v>
      </c>
      <c r="E10" s="5" t="s">
        <v>129</v>
      </c>
      <c r="F10" s="26">
        <v>7480</v>
      </c>
      <c r="G10" s="60">
        <f t="shared" si="0"/>
        <v>1047.2</v>
      </c>
      <c r="H10" s="60">
        <f t="shared" si="1"/>
        <v>6432.8</v>
      </c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</row>
    <row r="11" spans="1:23" x14ac:dyDescent="0.25">
      <c r="A11" s="51">
        <v>10</v>
      </c>
      <c r="B11" s="5" t="s">
        <v>133</v>
      </c>
      <c r="C11" s="51">
        <v>11033</v>
      </c>
      <c r="D11" s="51">
        <v>2</v>
      </c>
      <c r="E11" s="5" t="s">
        <v>134</v>
      </c>
      <c r="F11" s="26">
        <v>3460</v>
      </c>
      <c r="G11" s="60">
        <f t="shared" si="0"/>
        <v>484.40000000000003</v>
      </c>
      <c r="H11" s="60">
        <f t="shared" si="1"/>
        <v>2975.6</v>
      </c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</row>
    <row r="12" spans="1:23" x14ac:dyDescent="0.25">
      <c r="A12" s="51">
        <v>3</v>
      </c>
      <c r="B12" s="5" t="s">
        <v>122</v>
      </c>
      <c r="C12" s="51">
        <v>11044</v>
      </c>
      <c r="D12" s="51">
        <v>2</v>
      </c>
      <c r="E12" s="5" t="s">
        <v>123</v>
      </c>
      <c r="F12" s="26">
        <v>4200</v>
      </c>
      <c r="G12" s="60">
        <f t="shared" si="0"/>
        <v>588</v>
      </c>
      <c r="H12" s="60">
        <f t="shared" si="1"/>
        <v>3612</v>
      </c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</row>
    <row r="13" spans="1:23" x14ac:dyDescent="0.25">
      <c r="A13" s="51">
        <v>9</v>
      </c>
      <c r="B13" s="5" t="s">
        <v>132</v>
      </c>
      <c r="C13" s="51">
        <v>11018</v>
      </c>
      <c r="D13" s="53">
        <v>2</v>
      </c>
      <c r="E13" s="5" t="s">
        <v>127</v>
      </c>
      <c r="F13" s="26">
        <v>6840</v>
      </c>
      <c r="G13" s="60">
        <f t="shared" si="0"/>
        <v>957.60000000000014</v>
      </c>
      <c r="H13" s="60">
        <f t="shared" si="1"/>
        <v>5882.4</v>
      </c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</row>
    <row r="14" spans="1:23" x14ac:dyDescent="0.25">
      <c r="A14" s="51">
        <v>16</v>
      </c>
      <c r="B14" s="5" t="s">
        <v>142</v>
      </c>
      <c r="C14" s="51">
        <v>11002</v>
      </c>
      <c r="D14" s="53">
        <v>2</v>
      </c>
      <c r="E14" s="5" t="s">
        <v>143</v>
      </c>
      <c r="F14" s="26">
        <v>4100</v>
      </c>
      <c r="G14" s="60">
        <f t="shared" si="0"/>
        <v>574</v>
      </c>
      <c r="H14" s="60">
        <f t="shared" si="1"/>
        <v>3526</v>
      </c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</row>
    <row r="15" spans="1:23" x14ac:dyDescent="0.25">
      <c r="A15" s="51">
        <v>5</v>
      </c>
      <c r="B15" s="5" t="s">
        <v>126</v>
      </c>
      <c r="C15" s="51">
        <v>11017</v>
      </c>
      <c r="D15" s="71">
        <v>3</v>
      </c>
      <c r="E15" s="5" t="s">
        <v>127</v>
      </c>
      <c r="F15" s="26">
        <v>6299</v>
      </c>
      <c r="G15" s="60">
        <f t="shared" si="0"/>
        <v>881.86000000000013</v>
      </c>
      <c r="H15" s="60">
        <f t="shared" si="1"/>
        <v>5417.1399999999994</v>
      </c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</row>
    <row r="16" spans="1:23" x14ac:dyDescent="0.25">
      <c r="A16" s="51">
        <v>11</v>
      </c>
      <c r="B16" s="5" t="s">
        <v>135</v>
      </c>
      <c r="C16" s="51">
        <v>11012</v>
      </c>
      <c r="D16" s="51">
        <v>3</v>
      </c>
      <c r="E16" s="5" t="s">
        <v>134</v>
      </c>
      <c r="F16" s="26">
        <v>3950</v>
      </c>
      <c r="G16" s="60">
        <f t="shared" si="0"/>
        <v>553</v>
      </c>
      <c r="H16" s="60">
        <f t="shared" si="1"/>
        <v>3397</v>
      </c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</row>
    <row r="17" spans="1:23" x14ac:dyDescent="0.25">
      <c r="A17" s="51">
        <v>12</v>
      </c>
      <c r="B17" s="5" t="s">
        <v>136</v>
      </c>
      <c r="C17" s="51">
        <v>11022</v>
      </c>
      <c r="D17" s="51">
        <v>3</v>
      </c>
      <c r="E17" s="5" t="s">
        <v>134</v>
      </c>
      <c r="F17" s="26">
        <v>3740</v>
      </c>
      <c r="G17" s="60">
        <f t="shared" si="0"/>
        <v>523.6</v>
      </c>
      <c r="H17" s="60">
        <f t="shared" si="1"/>
        <v>3216.4</v>
      </c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</row>
    <row r="18" spans="1:23" x14ac:dyDescent="0.25">
      <c r="A18" s="51">
        <v>1</v>
      </c>
      <c r="B18" s="5" t="s">
        <v>118</v>
      </c>
      <c r="C18" s="51">
        <v>11043</v>
      </c>
      <c r="D18" s="51">
        <v>3</v>
      </c>
      <c r="E18" s="5" t="s">
        <v>119</v>
      </c>
      <c r="F18" s="26">
        <v>3850</v>
      </c>
      <c r="G18" s="60">
        <f t="shared" si="0"/>
        <v>539</v>
      </c>
      <c r="H18" s="60">
        <f t="shared" si="1"/>
        <v>3311</v>
      </c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</row>
    <row r="19" spans="1:23" x14ac:dyDescent="0.25">
      <c r="A19" s="51">
        <v>15</v>
      </c>
      <c r="B19" s="5" t="s">
        <v>141</v>
      </c>
      <c r="C19" s="51">
        <v>11010</v>
      </c>
      <c r="D19" s="53">
        <v>3</v>
      </c>
      <c r="E19" s="5" t="s">
        <v>134</v>
      </c>
      <c r="F19" s="26">
        <v>3600</v>
      </c>
      <c r="G19" s="60">
        <f t="shared" si="0"/>
        <v>504.00000000000006</v>
      </c>
      <c r="H19" s="60">
        <f t="shared" si="1"/>
        <v>3096</v>
      </c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</row>
    <row r="20" spans="1:23" x14ac:dyDescent="0.25">
      <c r="A20" s="46"/>
      <c r="B20" s="46"/>
      <c r="C20" s="46"/>
      <c r="D20" s="46"/>
      <c r="E20" s="46"/>
      <c r="F20" s="5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</row>
    <row r="21" spans="1:23" x14ac:dyDescent="0.25">
      <c r="A21" s="46"/>
      <c r="B21" s="46"/>
      <c r="C21" s="46"/>
      <c r="D21" s="46"/>
      <c r="E21" s="46"/>
      <c r="F21" s="5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</row>
    <row r="22" spans="1:23" x14ac:dyDescent="0.25">
      <c r="A22" s="58" t="s">
        <v>68</v>
      </c>
      <c r="B22" s="58" t="s">
        <v>111</v>
      </c>
      <c r="C22" s="52" t="s">
        <v>112</v>
      </c>
      <c r="D22" s="52" t="s">
        <v>113</v>
      </c>
      <c r="E22" s="52" t="s">
        <v>114</v>
      </c>
      <c r="F22" s="59" t="s">
        <v>115</v>
      </c>
      <c r="G22" s="52" t="s">
        <v>116</v>
      </c>
      <c r="H22" s="52" t="s">
        <v>117</v>
      </c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</row>
    <row r="23" spans="1:23" x14ac:dyDescent="0.25">
      <c r="A23" s="51">
        <v>1</v>
      </c>
      <c r="B23" s="5" t="s">
        <v>118</v>
      </c>
      <c r="C23" s="51">
        <v>11043</v>
      </c>
      <c r="D23" s="51">
        <v>3</v>
      </c>
      <c r="E23" s="5" t="s">
        <v>119</v>
      </c>
      <c r="F23" s="26">
        <v>3850</v>
      </c>
      <c r="G23" s="60">
        <v>539</v>
      </c>
      <c r="H23" s="60">
        <v>3311</v>
      </c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</row>
    <row r="24" spans="1:23" x14ac:dyDescent="0.25">
      <c r="A24" s="51">
        <v>10</v>
      </c>
      <c r="B24" s="5" t="s">
        <v>133</v>
      </c>
      <c r="C24" s="51">
        <v>11033</v>
      </c>
      <c r="D24" s="51">
        <v>2</v>
      </c>
      <c r="E24" s="5" t="s">
        <v>134</v>
      </c>
      <c r="F24" s="26">
        <v>3460</v>
      </c>
      <c r="G24" s="60">
        <v>484.40000000000003</v>
      </c>
      <c r="H24" s="60">
        <v>2975.6</v>
      </c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</row>
    <row r="25" spans="1:23" x14ac:dyDescent="0.25">
      <c r="A25" s="51">
        <v>11</v>
      </c>
      <c r="B25" s="5" t="s">
        <v>135</v>
      </c>
      <c r="C25" s="51">
        <v>11012</v>
      </c>
      <c r="D25" s="51">
        <v>3</v>
      </c>
      <c r="E25" s="5" t="s">
        <v>134</v>
      </c>
      <c r="F25" s="26">
        <v>3950</v>
      </c>
      <c r="G25" s="60">
        <v>553</v>
      </c>
      <c r="H25" s="60">
        <v>3397</v>
      </c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</row>
    <row r="26" spans="1:23" x14ac:dyDescent="0.25">
      <c r="A26" s="51">
        <v>12</v>
      </c>
      <c r="B26" s="5" t="s">
        <v>136</v>
      </c>
      <c r="C26" s="51">
        <v>11022</v>
      </c>
      <c r="D26" s="51">
        <v>3</v>
      </c>
      <c r="E26" s="5" t="s">
        <v>134</v>
      </c>
      <c r="F26" s="26">
        <v>3740</v>
      </c>
      <c r="G26" s="60">
        <v>523.6</v>
      </c>
      <c r="H26" s="60">
        <v>3216.4</v>
      </c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</row>
    <row r="27" spans="1:23" x14ac:dyDescent="0.25">
      <c r="A27" s="51">
        <v>13</v>
      </c>
      <c r="B27" s="5" t="s">
        <v>137</v>
      </c>
      <c r="C27" s="51">
        <v>11045</v>
      </c>
      <c r="D27" s="51">
        <v>1</v>
      </c>
      <c r="E27" s="5" t="s">
        <v>138</v>
      </c>
      <c r="F27" s="26">
        <v>2800</v>
      </c>
      <c r="G27" s="60">
        <v>392.00000000000006</v>
      </c>
      <c r="H27" s="60">
        <v>2408</v>
      </c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</row>
    <row r="28" spans="1:23" x14ac:dyDescent="0.25">
      <c r="A28" s="51">
        <v>15</v>
      </c>
      <c r="B28" s="5" t="s">
        <v>141</v>
      </c>
      <c r="C28" s="51">
        <v>11010</v>
      </c>
      <c r="D28" s="51">
        <v>3</v>
      </c>
      <c r="E28" s="5" t="s">
        <v>134</v>
      </c>
      <c r="F28" s="26">
        <v>3600</v>
      </c>
      <c r="G28" s="60">
        <v>504.00000000000006</v>
      </c>
      <c r="H28" s="60">
        <v>3096</v>
      </c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</row>
    <row r="29" spans="1:23" x14ac:dyDescent="0.25">
      <c r="A29" s="46"/>
      <c r="B29" s="46"/>
      <c r="C29" s="46"/>
      <c r="D29" s="46"/>
      <c r="E29" s="46"/>
      <c r="F29" s="5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</row>
    <row r="30" spans="1:23" x14ac:dyDescent="0.25">
      <c r="A30" s="58" t="s">
        <v>68</v>
      </c>
      <c r="B30" s="58" t="s">
        <v>111</v>
      </c>
      <c r="C30" s="52" t="s">
        <v>112</v>
      </c>
      <c r="D30" s="52" t="s">
        <v>113</v>
      </c>
      <c r="E30" s="52" t="s">
        <v>114</v>
      </c>
      <c r="F30" s="59" t="s">
        <v>115</v>
      </c>
      <c r="G30" s="52" t="s">
        <v>116</v>
      </c>
      <c r="H30" s="52" t="s">
        <v>117</v>
      </c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</row>
    <row r="31" spans="1:23" x14ac:dyDescent="0.25">
      <c r="A31" s="51">
        <v>2</v>
      </c>
      <c r="B31" s="5" t="s">
        <v>120</v>
      </c>
      <c r="C31" s="51">
        <v>11028</v>
      </c>
      <c r="D31" s="51">
        <v>1</v>
      </c>
      <c r="E31" s="5" t="s">
        <v>121</v>
      </c>
      <c r="F31" s="26">
        <v>4500</v>
      </c>
      <c r="G31" s="60">
        <v>630.00000000000011</v>
      </c>
      <c r="H31" s="60">
        <v>3870</v>
      </c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</row>
    <row r="32" spans="1:23" x14ac:dyDescent="0.25">
      <c r="A32" s="51">
        <v>4</v>
      </c>
      <c r="B32" s="5" t="s">
        <v>124</v>
      </c>
      <c r="C32" s="51">
        <v>11036</v>
      </c>
      <c r="D32" s="51">
        <v>1</v>
      </c>
      <c r="E32" s="5" t="s">
        <v>125</v>
      </c>
      <c r="F32" s="26">
        <v>4450</v>
      </c>
      <c r="G32" s="60">
        <v>623.00000000000011</v>
      </c>
      <c r="H32" s="60">
        <v>3827</v>
      </c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</row>
    <row r="33" spans="1:23" x14ac:dyDescent="0.25">
      <c r="A33" s="51">
        <v>6</v>
      </c>
      <c r="B33" s="5" t="s">
        <v>128</v>
      </c>
      <c r="C33" s="51">
        <v>11014</v>
      </c>
      <c r="D33" s="51">
        <v>1</v>
      </c>
      <c r="E33" s="5" t="s">
        <v>129</v>
      </c>
      <c r="F33" s="26">
        <v>7600</v>
      </c>
      <c r="G33" s="60">
        <v>1064</v>
      </c>
      <c r="H33" s="60">
        <v>6536</v>
      </c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</row>
    <row r="34" spans="1:23" x14ac:dyDescent="0.25">
      <c r="A34" s="51">
        <v>8</v>
      </c>
      <c r="B34" s="5" t="s">
        <v>131</v>
      </c>
      <c r="C34" s="51">
        <v>11019</v>
      </c>
      <c r="D34" s="51">
        <v>1</v>
      </c>
      <c r="E34" s="5" t="s">
        <v>127</v>
      </c>
      <c r="F34" s="26">
        <v>6450</v>
      </c>
      <c r="G34" s="60">
        <v>903.00000000000011</v>
      </c>
      <c r="H34" s="60">
        <v>5547</v>
      </c>
      <c r="I34" s="46"/>
      <c r="J34" s="46"/>
      <c r="K34" s="46"/>
      <c r="L34" s="65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</row>
    <row r="35" spans="1:23" x14ac:dyDescent="0.25">
      <c r="A35" s="51">
        <v>13</v>
      </c>
      <c r="B35" s="5" t="s">
        <v>137</v>
      </c>
      <c r="C35" s="51">
        <v>11045</v>
      </c>
      <c r="D35" s="51">
        <v>1</v>
      </c>
      <c r="E35" s="5" t="s">
        <v>138</v>
      </c>
      <c r="F35" s="26">
        <v>2800</v>
      </c>
      <c r="G35" s="60">
        <v>392.00000000000006</v>
      </c>
      <c r="H35" s="60">
        <v>2408</v>
      </c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</row>
    <row r="36" spans="1:23" x14ac:dyDescent="0.25">
      <c r="A36" s="51">
        <v>14</v>
      </c>
      <c r="B36" s="5" t="s">
        <v>139</v>
      </c>
      <c r="C36" s="51">
        <v>11023</v>
      </c>
      <c r="D36" s="61">
        <v>1</v>
      </c>
      <c r="E36" s="5" t="s">
        <v>140</v>
      </c>
      <c r="F36" s="26">
        <v>7200</v>
      </c>
      <c r="G36" s="60">
        <v>1008.0000000000001</v>
      </c>
      <c r="H36" s="60">
        <v>6192</v>
      </c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</row>
    <row r="37" spans="1:23" x14ac:dyDescent="0.25">
      <c r="A37" s="51">
        <v>17</v>
      </c>
      <c r="B37" s="5" t="s">
        <v>144</v>
      </c>
      <c r="C37" s="51">
        <v>11009</v>
      </c>
      <c r="D37" s="51">
        <v>1</v>
      </c>
      <c r="E37" s="5" t="s">
        <v>145</v>
      </c>
      <c r="F37" s="26">
        <v>9850</v>
      </c>
      <c r="G37" s="60">
        <v>1379.0000000000002</v>
      </c>
      <c r="H37" s="60">
        <v>8471</v>
      </c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</row>
    <row r="38" spans="1:23" x14ac:dyDescent="0.25">
      <c r="A38" s="62">
        <v>18</v>
      </c>
      <c r="B38" s="63" t="s">
        <v>146</v>
      </c>
      <c r="C38" s="62">
        <v>11003</v>
      </c>
      <c r="D38" s="62">
        <v>1</v>
      </c>
      <c r="E38" s="63" t="s">
        <v>147</v>
      </c>
      <c r="F38" s="30">
        <v>7800</v>
      </c>
      <c r="G38" s="64">
        <v>1092</v>
      </c>
      <c r="H38" s="64">
        <v>6708</v>
      </c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</row>
    <row r="39" spans="1:23" x14ac:dyDescent="0.25">
      <c r="A39" s="45"/>
      <c r="B39" s="66"/>
      <c r="C39" s="45"/>
      <c r="D39" s="45"/>
      <c r="E39" s="66"/>
      <c r="F39" s="67"/>
      <c r="G39" s="68"/>
      <c r="H39" s="68"/>
      <c r="I39" s="65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</row>
    <row r="40" spans="1:23" x14ac:dyDescent="0.25">
      <c r="A40" s="58" t="s">
        <v>68</v>
      </c>
      <c r="B40" s="58" t="s">
        <v>111</v>
      </c>
      <c r="C40" s="52" t="s">
        <v>112</v>
      </c>
      <c r="D40" s="52" t="s">
        <v>113</v>
      </c>
      <c r="E40" s="52" t="s">
        <v>114</v>
      </c>
      <c r="F40" s="59" t="s">
        <v>115</v>
      </c>
      <c r="G40" s="52" t="s">
        <v>116</v>
      </c>
      <c r="H40" s="52" t="s">
        <v>117</v>
      </c>
      <c r="I40" s="65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</row>
    <row r="41" spans="1:23" x14ac:dyDescent="0.25">
      <c r="A41" s="51">
        <v>3</v>
      </c>
      <c r="B41" s="5" t="s">
        <v>122</v>
      </c>
      <c r="C41" s="51">
        <v>11044</v>
      </c>
      <c r="D41" s="51">
        <v>2</v>
      </c>
      <c r="E41" s="5" t="s">
        <v>123</v>
      </c>
      <c r="F41" s="26">
        <v>4200</v>
      </c>
      <c r="G41" s="60">
        <v>588</v>
      </c>
      <c r="H41" s="60">
        <v>3612</v>
      </c>
      <c r="I41" s="65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</row>
    <row r="42" spans="1:23" x14ac:dyDescent="0.25">
      <c r="A42" s="51">
        <v>7</v>
      </c>
      <c r="B42" s="5" t="s">
        <v>130</v>
      </c>
      <c r="C42" s="51">
        <v>11025</v>
      </c>
      <c r="D42" s="51">
        <v>2</v>
      </c>
      <c r="E42" s="5" t="s">
        <v>129</v>
      </c>
      <c r="F42" s="26">
        <v>7480</v>
      </c>
      <c r="G42" s="60">
        <v>1047.2</v>
      </c>
      <c r="H42" s="60">
        <v>6432.8</v>
      </c>
      <c r="I42" s="65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</row>
    <row r="43" spans="1:23" x14ac:dyDescent="0.25">
      <c r="A43" s="51">
        <v>9</v>
      </c>
      <c r="B43" s="5" t="s">
        <v>132</v>
      </c>
      <c r="C43" s="51">
        <v>11018</v>
      </c>
      <c r="D43" s="51">
        <v>2</v>
      </c>
      <c r="E43" s="5" t="s">
        <v>127</v>
      </c>
      <c r="F43" s="26">
        <v>6840</v>
      </c>
      <c r="G43" s="60">
        <v>957.60000000000014</v>
      </c>
      <c r="H43" s="60">
        <v>5882.4</v>
      </c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</row>
    <row r="44" spans="1:23" x14ac:dyDescent="0.25">
      <c r="A44" s="51">
        <v>10</v>
      </c>
      <c r="B44" s="5" t="s">
        <v>133</v>
      </c>
      <c r="C44" s="51">
        <v>11033</v>
      </c>
      <c r="D44" s="51">
        <v>2</v>
      </c>
      <c r="E44" s="5" t="s">
        <v>134</v>
      </c>
      <c r="F44" s="26">
        <v>3460</v>
      </c>
      <c r="G44" s="60">
        <v>484.40000000000003</v>
      </c>
      <c r="H44" s="60">
        <v>2975.6</v>
      </c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</row>
    <row r="45" spans="1:23" x14ac:dyDescent="0.25">
      <c r="A45" s="51">
        <v>16</v>
      </c>
      <c r="B45" s="5" t="s">
        <v>142</v>
      </c>
      <c r="C45" s="51">
        <v>11002</v>
      </c>
      <c r="D45" s="51">
        <v>2</v>
      </c>
      <c r="E45" s="5" t="s">
        <v>143</v>
      </c>
      <c r="F45" s="26">
        <v>4100</v>
      </c>
      <c r="G45" s="60">
        <v>574</v>
      </c>
      <c r="H45" s="60">
        <v>3526</v>
      </c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</row>
    <row r="46" spans="1:23" x14ac:dyDescent="0.25">
      <c r="A46" s="46"/>
      <c r="B46" s="46"/>
      <c r="C46" s="46"/>
      <c r="D46" s="46"/>
      <c r="E46" s="46"/>
      <c r="F46" s="5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</row>
    <row r="47" spans="1:23" x14ac:dyDescent="0.25">
      <c r="A47" s="58" t="s">
        <v>68</v>
      </c>
      <c r="B47" s="58" t="s">
        <v>111</v>
      </c>
      <c r="C47" s="54" t="s">
        <v>112</v>
      </c>
      <c r="D47" s="54" t="s">
        <v>113</v>
      </c>
      <c r="E47" s="54" t="s">
        <v>114</v>
      </c>
      <c r="F47" s="59" t="s">
        <v>115</v>
      </c>
      <c r="G47" s="54" t="s">
        <v>116</v>
      </c>
      <c r="H47" s="54" t="s">
        <v>117</v>
      </c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</row>
    <row r="48" spans="1:23" x14ac:dyDescent="0.25">
      <c r="A48" s="53">
        <v>10</v>
      </c>
      <c r="B48" s="5" t="s">
        <v>133</v>
      </c>
      <c r="C48" s="53">
        <v>11033</v>
      </c>
      <c r="D48" s="53">
        <v>2</v>
      </c>
      <c r="E48" s="5" t="s">
        <v>134</v>
      </c>
      <c r="F48" s="26">
        <v>3460</v>
      </c>
      <c r="G48" s="60">
        <v>484.40000000000003</v>
      </c>
      <c r="H48" s="60">
        <v>2975.6</v>
      </c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</row>
    <row r="49" spans="1:23" x14ac:dyDescent="0.25">
      <c r="A49" s="53">
        <v>11</v>
      </c>
      <c r="B49" s="5" t="s">
        <v>135</v>
      </c>
      <c r="C49" s="53">
        <v>11012</v>
      </c>
      <c r="D49" s="53">
        <v>3</v>
      </c>
      <c r="E49" s="5" t="s">
        <v>134</v>
      </c>
      <c r="F49" s="26">
        <v>3950</v>
      </c>
      <c r="G49" s="60">
        <v>553</v>
      </c>
      <c r="H49" s="60">
        <v>3397</v>
      </c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</row>
    <row r="50" spans="1:23" x14ac:dyDescent="0.25">
      <c r="A50" s="53">
        <v>12</v>
      </c>
      <c r="B50" s="5" t="s">
        <v>136</v>
      </c>
      <c r="C50" s="53">
        <v>11022</v>
      </c>
      <c r="D50" s="53">
        <v>3</v>
      </c>
      <c r="E50" s="5" t="s">
        <v>134</v>
      </c>
      <c r="F50" s="26">
        <v>3740</v>
      </c>
      <c r="G50" s="60">
        <v>523.6</v>
      </c>
      <c r="H50" s="60">
        <v>3216.4</v>
      </c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</row>
    <row r="51" spans="1:23" x14ac:dyDescent="0.25">
      <c r="A51" s="46"/>
      <c r="B51" s="46"/>
      <c r="C51" s="46"/>
      <c r="D51" s="46"/>
      <c r="E51" s="46"/>
      <c r="F51" s="5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</row>
    <row r="52" spans="1:23" x14ac:dyDescent="0.25">
      <c r="A52" s="46"/>
      <c r="B52" s="46"/>
      <c r="C52" s="46"/>
      <c r="D52" s="46"/>
      <c r="E52" s="46"/>
      <c r="F52" s="5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</row>
    <row r="53" spans="1:23" x14ac:dyDescent="0.25">
      <c r="A53" s="46"/>
      <c r="B53" s="46"/>
      <c r="C53" s="46"/>
      <c r="D53" s="46"/>
      <c r="E53" s="46"/>
      <c r="F53" s="5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</row>
    <row r="54" spans="1:23" x14ac:dyDescent="0.25">
      <c r="A54" s="46"/>
      <c r="B54" s="46"/>
      <c r="C54" s="46"/>
      <c r="D54" s="46"/>
      <c r="E54" s="46"/>
      <c r="F54" s="5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</row>
    <row r="55" spans="1:23" x14ac:dyDescent="0.25">
      <c r="A55" s="46"/>
      <c r="B55" s="46"/>
      <c r="C55" s="46"/>
      <c r="D55" s="46"/>
      <c r="E55" s="46"/>
      <c r="F55" s="5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</row>
    <row r="56" spans="1:23" x14ac:dyDescent="0.25">
      <c r="A56" s="46"/>
      <c r="B56" s="46"/>
      <c r="C56" s="46"/>
      <c r="D56" s="46"/>
      <c r="E56" s="46"/>
      <c r="F56" s="5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</row>
    <row r="57" spans="1:23" x14ac:dyDescent="0.25">
      <c r="A57" s="46"/>
      <c r="B57" s="46"/>
      <c r="C57" s="46"/>
      <c r="D57" s="46"/>
      <c r="E57" s="46"/>
      <c r="F57" s="5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</row>
    <row r="58" spans="1:23" x14ac:dyDescent="0.25">
      <c r="A58" s="46"/>
      <c r="B58" s="46"/>
      <c r="C58" s="46"/>
      <c r="D58" s="46"/>
      <c r="E58" s="46"/>
      <c r="F58" s="5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</row>
    <row r="59" spans="1:23" x14ac:dyDescent="0.25">
      <c r="A59" s="46"/>
      <c r="B59" s="46"/>
      <c r="C59" s="46"/>
      <c r="D59" s="46"/>
      <c r="E59" s="46"/>
      <c r="F59" s="5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</row>
    <row r="60" spans="1:23" x14ac:dyDescent="0.25">
      <c r="A60" s="46"/>
      <c r="B60" s="46"/>
      <c r="C60" s="46"/>
      <c r="D60" s="46"/>
      <c r="E60" s="46"/>
      <c r="F60" s="5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</row>
    <row r="61" spans="1:23" x14ac:dyDescent="0.25">
      <c r="A61" s="46"/>
      <c r="B61" s="46"/>
      <c r="C61" s="46"/>
      <c r="D61" s="46"/>
      <c r="E61" s="46"/>
      <c r="F61" s="5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</row>
    <row r="62" spans="1:23" x14ac:dyDescent="0.25">
      <c r="A62" s="46"/>
      <c r="B62" s="46"/>
      <c r="C62" s="46"/>
      <c r="D62" s="46"/>
      <c r="E62" s="46"/>
      <c r="F62" s="5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</row>
    <row r="63" spans="1:23" x14ac:dyDescent="0.25">
      <c r="A63" s="46"/>
      <c r="B63" s="46"/>
      <c r="C63" s="46"/>
      <c r="D63" s="46"/>
      <c r="E63" s="46"/>
      <c r="F63" s="5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</row>
    <row r="64" spans="1:23" x14ac:dyDescent="0.25">
      <c r="A64" s="46"/>
      <c r="B64" s="46"/>
      <c r="C64" s="46"/>
      <c r="D64" s="46"/>
      <c r="E64" s="46"/>
      <c r="F64" s="5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</row>
    <row r="65" spans="1:23" x14ac:dyDescent="0.25">
      <c r="A65" s="46"/>
      <c r="B65" s="46"/>
      <c r="C65" s="46"/>
      <c r="D65" s="46"/>
      <c r="E65" s="46"/>
      <c r="F65" s="5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</row>
    <row r="66" spans="1:23" x14ac:dyDescent="0.25">
      <c r="A66" s="46"/>
      <c r="B66" s="46"/>
      <c r="C66" s="46"/>
      <c r="D66" s="46"/>
      <c r="E66" s="46"/>
      <c r="F66" s="5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</row>
    <row r="67" spans="1:23" x14ac:dyDescent="0.25">
      <c r="A67" s="46"/>
      <c r="B67" s="46"/>
      <c r="C67" s="46"/>
      <c r="D67" s="46"/>
      <c r="E67" s="46"/>
      <c r="F67" s="5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</row>
    <row r="68" spans="1:23" x14ac:dyDescent="0.25">
      <c r="A68" s="46"/>
      <c r="B68" s="46"/>
      <c r="C68" s="46"/>
      <c r="D68" s="46"/>
      <c r="E68" s="46"/>
      <c r="F68" s="5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</row>
    <row r="69" spans="1:23" x14ac:dyDescent="0.25">
      <c r="A69" s="46"/>
      <c r="B69" s="46"/>
      <c r="C69" s="46"/>
      <c r="D69" s="46"/>
      <c r="E69" s="46"/>
      <c r="F69" s="5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</row>
    <row r="70" spans="1:23" x14ac:dyDescent="0.25">
      <c r="A70" s="46"/>
      <c r="B70" s="46"/>
      <c r="C70" s="46"/>
      <c r="D70" s="46"/>
      <c r="E70" s="46"/>
      <c r="F70" s="5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</row>
    <row r="71" spans="1:23" x14ac:dyDescent="0.25">
      <c r="A71" s="46"/>
      <c r="B71" s="46"/>
      <c r="C71" s="46"/>
      <c r="D71" s="46"/>
      <c r="E71" s="46"/>
      <c r="F71" s="5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</row>
    <row r="72" spans="1:23" x14ac:dyDescent="0.25">
      <c r="A72" s="46"/>
      <c r="B72" s="46"/>
      <c r="C72" s="46"/>
      <c r="D72" s="46"/>
      <c r="E72" s="46"/>
      <c r="F72" s="5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</row>
    <row r="73" spans="1:23" x14ac:dyDescent="0.25">
      <c r="A73" s="46"/>
      <c r="B73" s="46"/>
      <c r="C73" s="46"/>
      <c r="D73" s="46"/>
      <c r="E73" s="46"/>
      <c r="F73" s="5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</row>
    <row r="74" spans="1:23" x14ac:dyDescent="0.25">
      <c r="A74" s="46"/>
      <c r="B74" s="46"/>
      <c r="C74" s="46"/>
      <c r="D74" s="46"/>
      <c r="E74" s="46"/>
      <c r="F74" s="5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</row>
    <row r="75" spans="1:23" x14ac:dyDescent="0.25">
      <c r="A75" s="46"/>
      <c r="B75" s="46"/>
      <c r="C75" s="46"/>
      <c r="D75" s="46"/>
      <c r="E75" s="46"/>
      <c r="F75" s="5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</row>
    <row r="76" spans="1:23" x14ac:dyDescent="0.25">
      <c r="A76" s="46"/>
      <c r="B76" s="46"/>
      <c r="C76" s="46"/>
      <c r="D76" s="46"/>
      <c r="E76" s="46"/>
      <c r="F76" s="5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</row>
    <row r="77" spans="1:23" x14ac:dyDescent="0.25">
      <c r="A77" s="46"/>
      <c r="B77" s="46"/>
      <c r="C77" s="46"/>
      <c r="D77" s="46"/>
      <c r="E77" s="46"/>
      <c r="F77" s="5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</row>
    <row r="78" spans="1:23" x14ac:dyDescent="0.25">
      <c r="A78" s="46"/>
      <c r="B78" s="46"/>
      <c r="C78" s="46"/>
      <c r="D78" s="46"/>
      <c r="E78" s="46"/>
      <c r="F78" s="5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</row>
    <row r="79" spans="1:23" x14ac:dyDescent="0.25">
      <c r="A79" s="46"/>
      <c r="B79" s="46"/>
      <c r="C79" s="46"/>
      <c r="D79" s="46"/>
      <c r="E79" s="46"/>
      <c r="F79" s="5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</row>
    <row r="80" spans="1:23" x14ac:dyDescent="0.25">
      <c r="A80" s="46"/>
      <c r="B80" s="46"/>
      <c r="C80" s="46"/>
      <c r="D80" s="46"/>
      <c r="E80" s="46"/>
      <c r="F80" s="5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</row>
    <row r="81" spans="1:23" x14ac:dyDescent="0.25">
      <c r="A81" s="46"/>
      <c r="B81" s="46"/>
      <c r="C81" s="46"/>
      <c r="D81" s="46"/>
      <c r="E81" s="46"/>
      <c r="F81" s="5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</row>
    <row r="82" spans="1:23" x14ac:dyDescent="0.25">
      <c r="A82" s="46"/>
      <c r="B82" s="46"/>
      <c r="C82" s="46"/>
      <c r="D82" s="46"/>
      <c r="E82" s="46"/>
      <c r="F82" s="5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</row>
    <row r="83" spans="1:23" x14ac:dyDescent="0.25">
      <c r="A83" s="46"/>
      <c r="B83" s="46"/>
      <c r="C83" s="46"/>
      <c r="D83" s="46"/>
      <c r="E83" s="46"/>
      <c r="F83" s="5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</row>
    <row r="84" spans="1:23" x14ac:dyDescent="0.25">
      <c r="A84" s="46"/>
      <c r="B84" s="46"/>
      <c r="C84" s="46"/>
      <c r="D84" s="46"/>
      <c r="E84" s="46"/>
      <c r="F84" s="5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</row>
    <row r="85" spans="1:23" x14ac:dyDescent="0.25">
      <c r="A85" s="46"/>
      <c r="B85" s="46"/>
      <c r="C85" s="46"/>
      <c r="D85" s="46"/>
      <c r="E85" s="46"/>
      <c r="F85" s="5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</row>
    <row r="86" spans="1:23" x14ac:dyDescent="0.25">
      <c r="A86" s="46"/>
      <c r="B86" s="46"/>
      <c r="C86" s="46"/>
      <c r="D86" s="46"/>
      <c r="E86" s="46"/>
      <c r="F86" s="5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</row>
    <row r="87" spans="1:23" x14ac:dyDescent="0.25">
      <c r="A87" s="46"/>
      <c r="B87" s="46"/>
      <c r="C87" s="46"/>
      <c r="D87" s="46"/>
      <c r="E87" s="46"/>
      <c r="F87" s="5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</row>
    <row r="88" spans="1:23" x14ac:dyDescent="0.25">
      <c r="A88" s="46"/>
      <c r="B88" s="46"/>
      <c r="C88" s="46"/>
      <c r="D88" s="46"/>
      <c r="E88" s="46"/>
      <c r="F88" s="5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</row>
    <row r="89" spans="1:23" x14ac:dyDescent="0.25">
      <c r="A89" s="46"/>
      <c r="B89" s="46"/>
      <c r="C89" s="46"/>
      <c r="D89" s="46"/>
      <c r="E89" s="46"/>
      <c r="F89" s="5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</row>
    <row r="90" spans="1:23" x14ac:dyDescent="0.25">
      <c r="A90" s="46"/>
      <c r="B90" s="46"/>
      <c r="C90" s="46"/>
      <c r="D90" s="46"/>
      <c r="E90" s="46"/>
      <c r="F90" s="5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</row>
    <row r="91" spans="1:23" x14ac:dyDescent="0.25">
      <c r="A91" s="46"/>
      <c r="B91" s="46"/>
      <c r="C91" s="46"/>
      <c r="D91" s="46"/>
      <c r="E91" s="46"/>
      <c r="F91" s="5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</row>
    <row r="92" spans="1:23" x14ac:dyDescent="0.25">
      <c r="A92" s="46"/>
      <c r="B92" s="46"/>
      <c r="C92" s="46"/>
      <c r="D92" s="46"/>
      <c r="E92" s="46"/>
      <c r="F92" s="5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</row>
    <row r="93" spans="1:23" x14ac:dyDescent="0.25">
      <c r="A93" s="46"/>
      <c r="B93" s="46"/>
      <c r="C93" s="46"/>
      <c r="D93" s="46"/>
      <c r="E93" s="46"/>
      <c r="F93" s="5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</row>
    <row r="94" spans="1:23" x14ac:dyDescent="0.25">
      <c r="A94" s="46"/>
      <c r="B94" s="46"/>
      <c r="C94" s="46"/>
      <c r="D94" s="46"/>
      <c r="E94" s="46"/>
      <c r="F94" s="5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</row>
    <row r="95" spans="1:23" x14ac:dyDescent="0.25">
      <c r="A95" s="46"/>
      <c r="B95" s="46"/>
      <c r="C95" s="46"/>
      <c r="D95" s="46"/>
      <c r="E95" s="46"/>
      <c r="F95" s="5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</row>
    <row r="96" spans="1:23" x14ac:dyDescent="0.25">
      <c r="A96" s="46"/>
      <c r="B96" s="46"/>
      <c r="C96" s="46"/>
      <c r="D96" s="46"/>
      <c r="E96" s="46"/>
      <c r="F96" s="5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</row>
    <row r="97" spans="1:23" x14ac:dyDescent="0.25">
      <c r="A97" s="46"/>
      <c r="B97" s="46"/>
      <c r="C97" s="46"/>
      <c r="D97" s="46"/>
      <c r="E97" s="46"/>
      <c r="F97" s="5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</row>
    <row r="98" spans="1:23" x14ac:dyDescent="0.25">
      <c r="A98" s="46"/>
      <c r="B98" s="46"/>
      <c r="C98" s="46"/>
      <c r="D98" s="46"/>
      <c r="E98" s="46"/>
      <c r="F98" s="5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</row>
    <row r="99" spans="1:23" x14ac:dyDescent="0.25">
      <c r="A99" s="46"/>
      <c r="B99" s="46"/>
      <c r="C99" s="46"/>
      <c r="D99" s="46"/>
      <c r="E99" s="46"/>
      <c r="F99" s="5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</row>
    <row r="100" spans="1:23" x14ac:dyDescent="0.25">
      <c r="A100" s="46"/>
      <c r="B100" s="46"/>
      <c r="C100" s="46"/>
      <c r="D100" s="46"/>
      <c r="E100" s="46"/>
      <c r="F100" s="5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</row>
    <row r="101" spans="1:23" x14ac:dyDescent="0.25">
      <c r="A101" s="46"/>
      <c r="B101" s="46"/>
      <c r="C101" s="46"/>
      <c r="D101" s="46"/>
      <c r="E101" s="46"/>
      <c r="F101" s="5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</row>
    <row r="102" spans="1:23" x14ac:dyDescent="0.25">
      <c r="A102" s="46"/>
      <c r="B102" s="46"/>
      <c r="C102" s="46"/>
      <c r="D102" s="46"/>
      <c r="E102" s="46"/>
      <c r="F102" s="5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</row>
    <row r="103" spans="1:23" x14ac:dyDescent="0.25">
      <c r="A103" s="46"/>
      <c r="B103" s="46"/>
      <c r="C103" s="46"/>
      <c r="D103" s="46"/>
      <c r="E103" s="46"/>
      <c r="F103" s="5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</row>
    <row r="104" spans="1:23" x14ac:dyDescent="0.25">
      <c r="A104" s="46"/>
      <c r="B104" s="46"/>
      <c r="C104" s="46"/>
      <c r="D104" s="46"/>
      <c r="E104" s="46"/>
      <c r="F104" s="5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</row>
    <row r="105" spans="1:23" x14ac:dyDescent="0.25">
      <c r="A105" s="46"/>
      <c r="B105" s="46"/>
      <c r="C105" s="46"/>
      <c r="D105" s="46"/>
      <c r="E105" s="46"/>
      <c r="F105" s="5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</row>
    <row r="106" spans="1:23" x14ac:dyDescent="0.25">
      <c r="A106" s="46"/>
      <c r="B106" s="46"/>
      <c r="C106" s="46"/>
      <c r="D106" s="46"/>
      <c r="E106" s="46"/>
      <c r="F106" s="5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</row>
    <row r="107" spans="1:23" x14ac:dyDescent="0.25">
      <c r="A107" s="46"/>
      <c r="B107" s="46"/>
      <c r="C107" s="46"/>
      <c r="D107" s="46"/>
      <c r="E107" s="46"/>
      <c r="F107" s="5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</row>
    <row r="108" spans="1:23" x14ac:dyDescent="0.25">
      <c r="A108" s="46"/>
      <c r="B108" s="46"/>
      <c r="C108" s="46"/>
      <c r="D108" s="46"/>
      <c r="E108" s="46"/>
      <c r="F108" s="5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</row>
    <row r="109" spans="1:23" x14ac:dyDescent="0.25">
      <c r="A109" s="46"/>
      <c r="B109" s="46"/>
      <c r="C109" s="46"/>
      <c r="D109" s="46"/>
      <c r="E109" s="46"/>
      <c r="F109" s="5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</row>
    <row r="110" spans="1:23" x14ac:dyDescent="0.25">
      <c r="A110" s="46"/>
      <c r="B110" s="46"/>
      <c r="C110" s="46"/>
      <c r="D110" s="46"/>
      <c r="E110" s="46"/>
      <c r="F110" s="5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</row>
    <row r="111" spans="1:23" x14ac:dyDescent="0.25">
      <c r="A111" s="46"/>
      <c r="B111" s="46"/>
      <c r="C111" s="46"/>
      <c r="D111" s="46"/>
      <c r="E111" s="46"/>
      <c r="F111" s="5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</row>
    <row r="112" spans="1:23" x14ac:dyDescent="0.25">
      <c r="A112" s="46"/>
      <c r="B112" s="46"/>
      <c r="C112" s="46"/>
      <c r="D112" s="46"/>
      <c r="E112" s="46"/>
      <c r="F112" s="5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</row>
    <row r="113" spans="1:23" x14ac:dyDescent="0.25">
      <c r="A113" s="46"/>
      <c r="B113" s="46"/>
      <c r="C113" s="46"/>
      <c r="D113" s="46"/>
      <c r="E113" s="46"/>
      <c r="F113" s="5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</row>
    <row r="114" spans="1:23" x14ac:dyDescent="0.25">
      <c r="A114" s="46"/>
      <c r="B114" s="46"/>
      <c r="C114" s="46"/>
      <c r="D114" s="46"/>
      <c r="E114" s="46"/>
      <c r="F114" s="5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</row>
    <row r="115" spans="1:23" x14ac:dyDescent="0.25">
      <c r="A115" s="46"/>
      <c r="B115" s="46"/>
      <c r="C115" s="46"/>
      <c r="D115" s="46"/>
      <c r="E115" s="46"/>
      <c r="F115" s="5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</row>
    <row r="116" spans="1:23" x14ac:dyDescent="0.25">
      <c r="A116" s="46"/>
      <c r="B116" s="46"/>
      <c r="C116" s="46"/>
      <c r="D116" s="46"/>
      <c r="E116" s="46"/>
      <c r="F116" s="5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</row>
  </sheetData>
  <autoFilter ref="A1:H19">
    <sortState ref="A2:H19">
      <sortCondition ref="D1:D19"/>
    </sortState>
  </autoFilter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3"/>
  <sheetViews>
    <sheetView topLeftCell="A61" workbookViewId="0">
      <selection activeCell="L13" sqref="L13"/>
    </sheetView>
  </sheetViews>
  <sheetFormatPr defaultRowHeight="15" x14ac:dyDescent="0.25"/>
  <cols>
    <col min="3" max="5" width="0" hidden="1" customWidth="1"/>
    <col min="6" max="6" width="13.28515625" hidden="1" customWidth="1"/>
    <col min="7" max="7" width="11.5703125" hidden="1" customWidth="1"/>
    <col min="8" max="8" width="14.42578125" customWidth="1"/>
    <col min="15" max="15" width="12.7109375" customWidth="1"/>
    <col min="16" max="16" width="13.85546875" customWidth="1"/>
    <col min="17" max="17" width="15.5703125" customWidth="1"/>
  </cols>
  <sheetData>
    <row r="1" spans="1:8" ht="15.75" thickBot="1" x14ac:dyDescent="0.3">
      <c r="A1" s="149" t="s">
        <v>149</v>
      </c>
      <c r="B1" s="150"/>
      <c r="C1" s="150"/>
      <c r="D1" s="150"/>
      <c r="E1" s="150"/>
      <c r="F1" s="150"/>
      <c r="G1" s="150"/>
      <c r="H1" s="151"/>
    </row>
    <row r="2" spans="1:8" x14ac:dyDescent="0.25">
      <c r="A2" s="72" t="s">
        <v>68</v>
      </c>
      <c r="B2" s="73" t="s">
        <v>111</v>
      </c>
      <c r="C2" s="74" t="s">
        <v>112</v>
      </c>
      <c r="D2" s="74" t="s">
        <v>113</v>
      </c>
      <c r="E2" s="74" t="s">
        <v>114</v>
      </c>
      <c r="F2" s="75" t="s">
        <v>115</v>
      </c>
      <c r="G2" s="74" t="s">
        <v>116</v>
      </c>
      <c r="H2" s="76" t="s">
        <v>117</v>
      </c>
    </row>
    <row r="3" spans="1:8" x14ac:dyDescent="0.25">
      <c r="A3" s="77">
        <v>18</v>
      </c>
      <c r="B3" s="5" t="s">
        <v>146</v>
      </c>
      <c r="C3" s="53">
        <v>11003</v>
      </c>
      <c r="D3" s="53">
        <v>1</v>
      </c>
      <c r="E3" s="5" t="s">
        <v>147</v>
      </c>
      <c r="F3" s="26">
        <v>7800</v>
      </c>
      <c r="G3" s="60">
        <f t="shared" ref="G3:G20" si="0">F3*0.14</f>
        <v>1092</v>
      </c>
      <c r="H3" s="78">
        <f t="shared" ref="H3:H20" si="1">F3-G3</f>
        <v>6708</v>
      </c>
    </row>
    <row r="4" spans="1:8" x14ac:dyDescent="0.25">
      <c r="A4" s="77">
        <v>4</v>
      </c>
      <c r="B4" s="5" t="s">
        <v>124</v>
      </c>
      <c r="C4" s="53">
        <v>11036</v>
      </c>
      <c r="D4" s="53">
        <v>1</v>
      </c>
      <c r="E4" s="5" t="s">
        <v>125</v>
      </c>
      <c r="F4" s="26">
        <v>4450</v>
      </c>
      <c r="G4" s="60">
        <f t="shared" si="0"/>
        <v>623.00000000000011</v>
      </c>
      <c r="H4" s="78">
        <f t="shared" si="1"/>
        <v>3827</v>
      </c>
    </row>
    <row r="5" spans="1:8" x14ac:dyDescent="0.25">
      <c r="A5" s="77">
        <v>17</v>
      </c>
      <c r="B5" s="5" t="s">
        <v>144</v>
      </c>
      <c r="C5" s="53">
        <v>11009</v>
      </c>
      <c r="D5" s="53">
        <v>1</v>
      </c>
      <c r="E5" s="5" t="s">
        <v>145</v>
      </c>
      <c r="F5" s="26">
        <v>9850</v>
      </c>
      <c r="G5" s="60">
        <f t="shared" si="0"/>
        <v>1379.0000000000002</v>
      </c>
      <c r="H5" s="78">
        <f t="shared" si="1"/>
        <v>8471</v>
      </c>
    </row>
    <row r="6" spans="1:8" x14ac:dyDescent="0.25">
      <c r="A6" s="77">
        <v>16</v>
      </c>
      <c r="B6" s="5" t="s">
        <v>142</v>
      </c>
      <c r="C6" s="53">
        <v>11002</v>
      </c>
      <c r="D6" s="53">
        <v>2</v>
      </c>
      <c r="E6" s="5" t="s">
        <v>143</v>
      </c>
      <c r="F6" s="26">
        <v>4100</v>
      </c>
      <c r="G6" s="60">
        <f t="shared" si="0"/>
        <v>574</v>
      </c>
      <c r="H6" s="78">
        <f t="shared" si="1"/>
        <v>3526</v>
      </c>
    </row>
    <row r="7" spans="1:8" x14ac:dyDescent="0.25">
      <c r="A7" s="77">
        <v>15</v>
      </c>
      <c r="B7" s="5" t="s">
        <v>141</v>
      </c>
      <c r="C7" s="53">
        <v>11010</v>
      </c>
      <c r="D7" s="53">
        <v>3</v>
      </c>
      <c r="E7" s="5" t="s">
        <v>134</v>
      </c>
      <c r="F7" s="26">
        <v>3600</v>
      </c>
      <c r="G7" s="60">
        <f t="shared" si="0"/>
        <v>504.00000000000006</v>
      </c>
      <c r="H7" s="78">
        <f t="shared" si="1"/>
        <v>3096</v>
      </c>
    </row>
    <row r="8" spans="1:8" x14ac:dyDescent="0.25">
      <c r="A8" s="77">
        <v>1</v>
      </c>
      <c r="B8" s="5" t="s">
        <v>118</v>
      </c>
      <c r="C8" s="53">
        <v>11043</v>
      </c>
      <c r="D8" s="53">
        <v>3</v>
      </c>
      <c r="E8" s="5" t="s">
        <v>119</v>
      </c>
      <c r="F8" s="26">
        <v>3850</v>
      </c>
      <c r="G8" s="60">
        <f t="shared" si="0"/>
        <v>539</v>
      </c>
      <c r="H8" s="78">
        <f t="shared" si="1"/>
        <v>3311</v>
      </c>
    </row>
    <row r="9" spans="1:8" x14ac:dyDescent="0.25">
      <c r="A9" s="77">
        <v>14</v>
      </c>
      <c r="B9" s="5" t="s">
        <v>139</v>
      </c>
      <c r="C9" s="53">
        <v>11023</v>
      </c>
      <c r="D9" s="39">
        <v>1</v>
      </c>
      <c r="E9" s="5" t="s">
        <v>140</v>
      </c>
      <c r="F9" s="26">
        <v>7200</v>
      </c>
      <c r="G9" s="60">
        <f t="shared" si="0"/>
        <v>1008.0000000000001</v>
      </c>
      <c r="H9" s="78">
        <f t="shared" si="1"/>
        <v>6192</v>
      </c>
    </row>
    <row r="10" spans="1:8" x14ac:dyDescent="0.25">
      <c r="A10" s="77">
        <v>13</v>
      </c>
      <c r="B10" s="5" t="s">
        <v>137</v>
      </c>
      <c r="C10" s="53">
        <v>11045</v>
      </c>
      <c r="D10" s="53">
        <v>1</v>
      </c>
      <c r="E10" s="5" t="s">
        <v>138</v>
      </c>
      <c r="F10" s="26">
        <v>2800</v>
      </c>
      <c r="G10" s="60">
        <f t="shared" si="0"/>
        <v>392.00000000000006</v>
      </c>
      <c r="H10" s="78">
        <f t="shared" si="1"/>
        <v>2408</v>
      </c>
    </row>
    <row r="11" spans="1:8" x14ac:dyDescent="0.25">
      <c r="A11" s="77">
        <v>9</v>
      </c>
      <c r="B11" s="5" t="s">
        <v>132</v>
      </c>
      <c r="C11" s="53">
        <v>11018</v>
      </c>
      <c r="D11" s="53">
        <v>2</v>
      </c>
      <c r="E11" s="5" t="s">
        <v>127</v>
      </c>
      <c r="F11" s="26">
        <v>6840</v>
      </c>
      <c r="G11" s="60">
        <f t="shared" si="0"/>
        <v>957.60000000000014</v>
      </c>
      <c r="H11" s="78">
        <f t="shared" si="1"/>
        <v>5882.4</v>
      </c>
    </row>
    <row r="12" spans="1:8" x14ac:dyDescent="0.25">
      <c r="A12" s="77">
        <v>3</v>
      </c>
      <c r="B12" s="5" t="s">
        <v>122</v>
      </c>
      <c r="C12" s="53">
        <v>11044</v>
      </c>
      <c r="D12" s="53">
        <v>2</v>
      </c>
      <c r="E12" s="5" t="s">
        <v>123</v>
      </c>
      <c r="F12" s="26">
        <v>4200</v>
      </c>
      <c r="G12" s="60">
        <f t="shared" si="0"/>
        <v>588</v>
      </c>
      <c r="H12" s="78">
        <f t="shared" si="1"/>
        <v>3612</v>
      </c>
    </row>
    <row r="13" spans="1:8" x14ac:dyDescent="0.25">
      <c r="A13" s="77">
        <v>12</v>
      </c>
      <c r="B13" s="5" t="s">
        <v>136</v>
      </c>
      <c r="C13" s="53">
        <v>11022</v>
      </c>
      <c r="D13" s="53">
        <v>3</v>
      </c>
      <c r="E13" s="5" t="s">
        <v>134</v>
      </c>
      <c r="F13" s="26">
        <v>3740</v>
      </c>
      <c r="G13" s="60">
        <f t="shared" si="0"/>
        <v>523.6</v>
      </c>
      <c r="H13" s="78">
        <f t="shared" si="1"/>
        <v>3216.4</v>
      </c>
    </row>
    <row r="14" spans="1:8" x14ac:dyDescent="0.25">
      <c r="A14" s="77">
        <v>11</v>
      </c>
      <c r="B14" s="5" t="s">
        <v>135</v>
      </c>
      <c r="C14" s="53">
        <v>11012</v>
      </c>
      <c r="D14" s="53">
        <v>3</v>
      </c>
      <c r="E14" s="5" t="s">
        <v>134</v>
      </c>
      <c r="F14" s="26">
        <v>3950</v>
      </c>
      <c r="G14" s="60">
        <f t="shared" si="0"/>
        <v>553</v>
      </c>
      <c r="H14" s="78">
        <f t="shared" si="1"/>
        <v>3397</v>
      </c>
    </row>
    <row r="15" spans="1:8" x14ac:dyDescent="0.25">
      <c r="A15" s="77">
        <v>10</v>
      </c>
      <c r="B15" s="5" t="s">
        <v>133</v>
      </c>
      <c r="C15" s="53">
        <v>11033</v>
      </c>
      <c r="D15" s="53">
        <v>2</v>
      </c>
      <c r="E15" s="5" t="s">
        <v>134</v>
      </c>
      <c r="F15" s="26">
        <v>3460</v>
      </c>
      <c r="G15" s="60">
        <f t="shared" si="0"/>
        <v>484.40000000000003</v>
      </c>
      <c r="H15" s="78">
        <f t="shared" si="1"/>
        <v>2975.6</v>
      </c>
    </row>
    <row r="16" spans="1:8" x14ac:dyDescent="0.25">
      <c r="A16" s="77">
        <v>8</v>
      </c>
      <c r="B16" s="5" t="s">
        <v>131</v>
      </c>
      <c r="C16" s="53">
        <v>11019</v>
      </c>
      <c r="D16" s="71">
        <v>1</v>
      </c>
      <c r="E16" s="5" t="s">
        <v>127</v>
      </c>
      <c r="F16" s="26">
        <v>6450</v>
      </c>
      <c r="G16" s="60">
        <f t="shared" si="0"/>
        <v>903.00000000000011</v>
      </c>
      <c r="H16" s="78">
        <f t="shared" si="1"/>
        <v>5547</v>
      </c>
    </row>
    <row r="17" spans="1:8" x14ac:dyDescent="0.25">
      <c r="A17" s="77">
        <v>7</v>
      </c>
      <c r="B17" s="5" t="s">
        <v>130</v>
      </c>
      <c r="C17" s="53">
        <v>11025</v>
      </c>
      <c r="D17" s="53">
        <v>2</v>
      </c>
      <c r="E17" s="5" t="s">
        <v>129</v>
      </c>
      <c r="F17" s="26">
        <v>7480</v>
      </c>
      <c r="G17" s="60">
        <f t="shared" si="0"/>
        <v>1047.2</v>
      </c>
      <c r="H17" s="78">
        <f t="shared" si="1"/>
        <v>6432.8</v>
      </c>
    </row>
    <row r="18" spans="1:8" x14ac:dyDescent="0.25">
      <c r="A18" s="77">
        <v>2</v>
      </c>
      <c r="B18" s="5" t="s">
        <v>120</v>
      </c>
      <c r="C18" s="53">
        <v>11028</v>
      </c>
      <c r="D18" s="53">
        <v>1</v>
      </c>
      <c r="E18" s="5" t="s">
        <v>121</v>
      </c>
      <c r="F18" s="26">
        <v>4500</v>
      </c>
      <c r="G18" s="60">
        <f t="shared" si="0"/>
        <v>630.00000000000011</v>
      </c>
      <c r="H18" s="78">
        <f t="shared" si="1"/>
        <v>3870</v>
      </c>
    </row>
    <row r="19" spans="1:8" x14ac:dyDescent="0.25">
      <c r="A19" s="77">
        <v>6</v>
      </c>
      <c r="B19" s="5" t="s">
        <v>128</v>
      </c>
      <c r="C19" s="53">
        <v>11014</v>
      </c>
      <c r="D19" s="53">
        <v>1</v>
      </c>
      <c r="E19" s="5" t="s">
        <v>129</v>
      </c>
      <c r="F19" s="26">
        <v>7600</v>
      </c>
      <c r="G19" s="60">
        <f t="shared" si="0"/>
        <v>1064</v>
      </c>
      <c r="H19" s="78">
        <f t="shared" si="1"/>
        <v>6536</v>
      </c>
    </row>
    <row r="20" spans="1:8" ht="15.75" thickBot="1" x14ac:dyDescent="0.3">
      <c r="A20" s="79">
        <v>5</v>
      </c>
      <c r="B20" s="80" t="s">
        <v>126</v>
      </c>
      <c r="C20" s="81">
        <v>11017</v>
      </c>
      <c r="D20" s="81">
        <v>3</v>
      </c>
      <c r="E20" s="80" t="s">
        <v>127</v>
      </c>
      <c r="F20" s="82">
        <v>6299</v>
      </c>
      <c r="G20" s="83">
        <f t="shared" si="0"/>
        <v>881.86000000000013</v>
      </c>
      <c r="H20" s="84">
        <f t="shared" si="1"/>
        <v>5417.1399999999994</v>
      </c>
    </row>
    <row r="21" spans="1:8" ht="15.75" thickBot="1" x14ac:dyDescent="0.3"/>
    <row r="22" spans="1:8" ht="15.75" thickBot="1" x14ac:dyDescent="0.3">
      <c r="A22" s="149" t="s">
        <v>148</v>
      </c>
      <c r="B22" s="150"/>
      <c r="C22" s="150"/>
      <c r="D22" s="150"/>
      <c r="E22" s="150"/>
      <c r="F22" s="150"/>
      <c r="G22" s="150"/>
      <c r="H22" s="151"/>
    </row>
    <row r="23" spans="1:8" x14ac:dyDescent="0.25">
      <c r="A23" s="72" t="s">
        <v>68</v>
      </c>
      <c r="B23" s="73" t="s">
        <v>111</v>
      </c>
      <c r="C23" s="74" t="s">
        <v>112</v>
      </c>
      <c r="D23" s="74" t="s">
        <v>113</v>
      </c>
      <c r="E23" s="74" t="s">
        <v>114</v>
      </c>
      <c r="F23" s="75" t="s">
        <v>115</v>
      </c>
      <c r="G23" s="74" t="s">
        <v>116</v>
      </c>
      <c r="H23" s="76" t="s">
        <v>117</v>
      </c>
    </row>
    <row r="24" spans="1:8" x14ac:dyDescent="0.25">
      <c r="A24" s="77">
        <v>5</v>
      </c>
      <c r="B24" s="5" t="s">
        <v>126</v>
      </c>
      <c r="C24" s="53">
        <v>11017</v>
      </c>
      <c r="D24" s="53">
        <v>3</v>
      </c>
      <c r="E24" s="5" t="s">
        <v>127</v>
      </c>
      <c r="F24" s="26">
        <v>6299</v>
      </c>
      <c r="G24" s="60">
        <f t="shared" ref="G24:G41" si="2">F24*0.14</f>
        <v>881.86000000000013</v>
      </c>
      <c r="H24" s="78">
        <f t="shared" ref="H24:H41" si="3">F24-G24</f>
        <v>5417.1399999999994</v>
      </c>
    </row>
    <row r="25" spans="1:8" x14ac:dyDescent="0.25">
      <c r="A25" s="77">
        <v>11</v>
      </c>
      <c r="B25" s="5" t="s">
        <v>135</v>
      </c>
      <c r="C25" s="53">
        <v>11012</v>
      </c>
      <c r="D25" s="53">
        <v>3</v>
      </c>
      <c r="E25" s="5" t="s">
        <v>134</v>
      </c>
      <c r="F25" s="26">
        <v>3950</v>
      </c>
      <c r="G25" s="60">
        <f t="shared" si="2"/>
        <v>553</v>
      </c>
      <c r="H25" s="78">
        <f t="shared" si="3"/>
        <v>3397</v>
      </c>
    </row>
    <row r="26" spans="1:8" x14ac:dyDescent="0.25">
      <c r="A26" s="77">
        <v>1</v>
      </c>
      <c r="B26" s="5" t="s">
        <v>118</v>
      </c>
      <c r="C26" s="53">
        <v>11043</v>
      </c>
      <c r="D26" s="53">
        <v>3</v>
      </c>
      <c r="E26" s="5" t="s">
        <v>119</v>
      </c>
      <c r="F26" s="26">
        <v>3850</v>
      </c>
      <c r="G26" s="60">
        <f t="shared" si="2"/>
        <v>539</v>
      </c>
      <c r="H26" s="78">
        <f t="shared" si="3"/>
        <v>3311</v>
      </c>
    </row>
    <row r="27" spans="1:8" x14ac:dyDescent="0.25">
      <c r="A27" s="77">
        <v>12</v>
      </c>
      <c r="B27" s="5" t="s">
        <v>136</v>
      </c>
      <c r="C27" s="53">
        <v>11022</v>
      </c>
      <c r="D27" s="53">
        <v>3</v>
      </c>
      <c r="E27" s="5" t="s">
        <v>134</v>
      </c>
      <c r="F27" s="26">
        <v>3740</v>
      </c>
      <c r="G27" s="60">
        <f t="shared" si="2"/>
        <v>523.6</v>
      </c>
      <c r="H27" s="78">
        <f t="shared" si="3"/>
        <v>3216.4</v>
      </c>
    </row>
    <row r="28" spans="1:8" x14ac:dyDescent="0.25">
      <c r="A28" s="77">
        <v>15</v>
      </c>
      <c r="B28" s="5" t="s">
        <v>141</v>
      </c>
      <c r="C28" s="53">
        <v>11010</v>
      </c>
      <c r="D28" s="53">
        <v>3</v>
      </c>
      <c r="E28" s="5" t="s">
        <v>134</v>
      </c>
      <c r="F28" s="26">
        <v>3600</v>
      </c>
      <c r="G28" s="60">
        <f t="shared" si="2"/>
        <v>504.00000000000006</v>
      </c>
      <c r="H28" s="78">
        <f t="shared" si="3"/>
        <v>3096</v>
      </c>
    </row>
    <row r="29" spans="1:8" x14ac:dyDescent="0.25">
      <c r="A29" s="77">
        <v>7</v>
      </c>
      <c r="B29" s="5" t="s">
        <v>130</v>
      </c>
      <c r="C29" s="53">
        <v>11025</v>
      </c>
      <c r="D29" s="53">
        <v>2</v>
      </c>
      <c r="E29" s="5" t="s">
        <v>129</v>
      </c>
      <c r="F29" s="26">
        <v>7480</v>
      </c>
      <c r="G29" s="60">
        <f t="shared" si="2"/>
        <v>1047.2</v>
      </c>
      <c r="H29" s="78">
        <f t="shared" si="3"/>
        <v>6432.8</v>
      </c>
    </row>
    <row r="30" spans="1:8" x14ac:dyDescent="0.25">
      <c r="A30" s="77">
        <v>9</v>
      </c>
      <c r="B30" s="5" t="s">
        <v>132</v>
      </c>
      <c r="C30" s="53">
        <v>11018</v>
      </c>
      <c r="D30" s="53">
        <v>2</v>
      </c>
      <c r="E30" s="5" t="s">
        <v>127</v>
      </c>
      <c r="F30" s="26">
        <v>6840</v>
      </c>
      <c r="G30" s="60">
        <f t="shared" si="2"/>
        <v>957.60000000000014</v>
      </c>
      <c r="H30" s="78">
        <f t="shared" si="3"/>
        <v>5882.4</v>
      </c>
    </row>
    <row r="31" spans="1:8" x14ac:dyDescent="0.25">
      <c r="A31" s="77">
        <v>3</v>
      </c>
      <c r="B31" s="5" t="s">
        <v>122</v>
      </c>
      <c r="C31" s="53">
        <v>11044</v>
      </c>
      <c r="D31" s="53">
        <v>2</v>
      </c>
      <c r="E31" s="5" t="s">
        <v>123</v>
      </c>
      <c r="F31" s="26">
        <v>4200</v>
      </c>
      <c r="G31" s="60">
        <f t="shared" si="2"/>
        <v>588</v>
      </c>
      <c r="H31" s="78">
        <f t="shared" si="3"/>
        <v>3612</v>
      </c>
    </row>
    <row r="32" spans="1:8" x14ac:dyDescent="0.25">
      <c r="A32" s="77">
        <v>16</v>
      </c>
      <c r="B32" s="5" t="s">
        <v>142</v>
      </c>
      <c r="C32" s="53">
        <v>11002</v>
      </c>
      <c r="D32" s="53">
        <v>2</v>
      </c>
      <c r="E32" s="5" t="s">
        <v>143</v>
      </c>
      <c r="F32" s="26">
        <v>4100</v>
      </c>
      <c r="G32" s="60">
        <f t="shared" si="2"/>
        <v>574</v>
      </c>
      <c r="H32" s="78">
        <f t="shared" si="3"/>
        <v>3526</v>
      </c>
    </row>
    <row r="33" spans="1:8" x14ac:dyDescent="0.25">
      <c r="A33" s="77">
        <v>10</v>
      </c>
      <c r="B33" s="5" t="s">
        <v>133</v>
      </c>
      <c r="C33" s="53">
        <v>11033</v>
      </c>
      <c r="D33" s="53">
        <v>2</v>
      </c>
      <c r="E33" s="5" t="s">
        <v>134</v>
      </c>
      <c r="F33" s="26">
        <v>3460</v>
      </c>
      <c r="G33" s="60">
        <f t="shared" si="2"/>
        <v>484.40000000000003</v>
      </c>
      <c r="H33" s="78">
        <f t="shared" si="3"/>
        <v>2975.6</v>
      </c>
    </row>
    <row r="34" spans="1:8" x14ac:dyDescent="0.25">
      <c r="A34" s="77">
        <v>17</v>
      </c>
      <c r="B34" s="5" t="s">
        <v>144</v>
      </c>
      <c r="C34" s="53">
        <v>11009</v>
      </c>
      <c r="D34" s="53">
        <v>1</v>
      </c>
      <c r="E34" s="5" t="s">
        <v>145</v>
      </c>
      <c r="F34" s="26">
        <v>9850</v>
      </c>
      <c r="G34" s="60">
        <f t="shared" si="2"/>
        <v>1379.0000000000002</v>
      </c>
      <c r="H34" s="78">
        <f t="shared" si="3"/>
        <v>8471</v>
      </c>
    </row>
    <row r="35" spans="1:8" x14ac:dyDescent="0.25">
      <c r="A35" s="77">
        <v>18</v>
      </c>
      <c r="B35" s="5" t="s">
        <v>146</v>
      </c>
      <c r="C35" s="53">
        <v>11003</v>
      </c>
      <c r="D35" s="53">
        <v>1</v>
      </c>
      <c r="E35" s="5" t="s">
        <v>147</v>
      </c>
      <c r="F35" s="26">
        <v>7800</v>
      </c>
      <c r="G35" s="60">
        <f t="shared" si="2"/>
        <v>1092</v>
      </c>
      <c r="H35" s="78">
        <f t="shared" si="3"/>
        <v>6708</v>
      </c>
    </row>
    <row r="36" spans="1:8" x14ac:dyDescent="0.25">
      <c r="A36" s="77">
        <v>6</v>
      </c>
      <c r="B36" s="5" t="s">
        <v>128</v>
      </c>
      <c r="C36" s="53">
        <v>11014</v>
      </c>
      <c r="D36" s="53">
        <v>1</v>
      </c>
      <c r="E36" s="5" t="s">
        <v>129</v>
      </c>
      <c r="F36" s="26">
        <v>7600</v>
      </c>
      <c r="G36" s="60">
        <f t="shared" si="2"/>
        <v>1064</v>
      </c>
      <c r="H36" s="78">
        <f t="shared" si="3"/>
        <v>6536</v>
      </c>
    </row>
    <row r="37" spans="1:8" x14ac:dyDescent="0.25">
      <c r="A37" s="77">
        <v>14</v>
      </c>
      <c r="B37" s="5" t="s">
        <v>139</v>
      </c>
      <c r="C37" s="53">
        <v>11023</v>
      </c>
      <c r="D37" s="61">
        <v>1</v>
      </c>
      <c r="E37" s="5" t="s">
        <v>140</v>
      </c>
      <c r="F37" s="26">
        <v>7200</v>
      </c>
      <c r="G37" s="60">
        <f t="shared" si="2"/>
        <v>1008.0000000000001</v>
      </c>
      <c r="H37" s="78">
        <f t="shared" si="3"/>
        <v>6192</v>
      </c>
    </row>
    <row r="38" spans="1:8" x14ac:dyDescent="0.25">
      <c r="A38" s="77">
        <v>8</v>
      </c>
      <c r="B38" s="5" t="s">
        <v>131</v>
      </c>
      <c r="C38" s="53">
        <v>11019</v>
      </c>
      <c r="D38" s="53">
        <v>1</v>
      </c>
      <c r="E38" s="5" t="s">
        <v>127</v>
      </c>
      <c r="F38" s="26">
        <v>6450</v>
      </c>
      <c r="G38" s="60">
        <f t="shared" si="2"/>
        <v>903.00000000000011</v>
      </c>
      <c r="H38" s="78">
        <f t="shared" si="3"/>
        <v>5547</v>
      </c>
    </row>
    <row r="39" spans="1:8" x14ac:dyDescent="0.25">
      <c r="A39" s="77">
        <v>2</v>
      </c>
      <c r="B39" s="5" t="s">
        <v>120</v>
      </c>
      <c r="C39" s="53">
        <v>11028</v>
      </c>
      <c r="D39" s="53">
        <v>1</v>
      </c>
      <c r="E39" s="5" t="s">
        <v>121</v>
      </c>
      <c r="F39" s="26">
        <v>4500</v>
      </c>
      <c r="G39" s="60">
        <f t="shared" si="2"/>
        <v>630.00000000000011</v>
      </c>
      <c r="H39" s="78">
        <f t="shared" si="3"/>
        <v>3870</v>
      </c>
    </row>
    <row r="40" spans="1:8" x14ac:dyDescent="0.25">
      <c r="A40" s="77">
        <v>4</v>
      </c>
      <c r="B40" s="5" t="s">
        <v>124</v>
      </c>
      <c r="C40" s="53">
        <v>11036</v>
      </c>
      <c r="D40" s="53">
        <v>1</v>
      </c>
      <c r="E40" s="5" t="s">
        <v>125</v>
      </c>
      <c r="F40" s="26">
        <v>4450</v>
      </c>
      <c r="G40" s="60">
        <f t="shared" si="2"/>
        <v>623.00000000000011</v>
      </c>
      <c r="H40" s="78">
        <f t="shared" si="3"/>
        <v>3827</v>
      </c>
    </row>
    <row r="41" spans="1:8" ht="15.75" thickBot="1" x14ac:dyDescent="0.3">
      <c r="A41" s="79">
        <v>13</v>
      </c>
      <c r="B41" s="80" t="s">
        <v>137</v>
      </c>
      <c r="C41" s="81">
        <v>11045</v>
      </c>
      <c r="D41" s="81">
        <v>1</v>
      </c>
      <c r="E41" s="80" t="s">
        <v>138</v>
      </c>
      <c r="F41" s="82">
        <v>2800</v>
      </c>
      <c r="G41" s="83">
        <f t="shared" si="2"/>
        <v>392.00000000000006</v>
      </c>
      <c r="H41" s="84">
        <f t="shared" si="3"/>
        <v>2408</v>
      </c>
    </row>
    <row r="42" spans="1:8" ht="15.75" thickBot="1" x14ac:dyDescent="0.3"/>
    <row r="43" spans="1:8" ht="15.75" thickBot="1" x14ac:dyDescent="0.3">
      <c r="A43" s="149" t="s">
        <v>150</v>
      </c>
      <c r="B43" s="150"/>
      <c r="C43" s="150"/>
      <c r="D43" s="150"/>
      <c r="E43" s="150"/>
      <c r="F43" s="150"/>
      <c r="G43" s="150"/>
      <c r="H43" s="151"/>
    </row>
    <row r="44" spans="1:8" x14ac:dyDescent="0.25">
      <c r="A44" s="72" t="s">
        <v>68</v>
      </c>
      <c r="B44" s="73" t="s">
        <v>111</v>
      </c>
      <c r="C44" s="74" t="s">
        <v>112</v>
      </c>
      <c r="D44" s="74" t="s">
        <v>113</v>
      </c>
      <c r="E44" s="74" t="s">
        <v>114</v>
      </c>
      <c r="F44" s="75" t="s">
        <v>115</v>
      </c>
      <c r="G44" s="74" t="s">
        <v>116</v>
      </c>
      <c r="H44" s="76" t="s">
        <v>117</v>
      </c>
    </row>
    <row r="45" spans="1:8" x14ac:dyDescent="0.25">
      <c r="A45" s="77">
        <v>18</v>
      </c>
      <c r="B45" s="5" t="s">
        <v>146</v>
      </c>
      <c r="C45" s="53">
        <v>11003</v>
      </c>
      <c r="D45" s="53">
        <v>1</v>
      </c>
      <c r="E45" s="5" t="s">
        <v>147</v>
      </c>
      <c r="F45" s="26">
        <v>7800</v>
      </c>
      <c r="G45" s="60">
        <f t="shared" ref="G45:G62" si="4">F45*0.14</f>
        <v>1092</v>
      </c>
      <c r="H45" s="78">
        <f t="shared" ref="H45:H62" si="5">F45-G45</f>
        <v>6708</v>
      </c>
    </row>
    <row r="46" spans="1:8" x14ac:dyDescent="0.25">
      <c r="A46" s="77">
        <v>4</v>
      </c>
      <c r="B46" s="5" t="s">
        <v>124</v>
      </c>
      <c r="C46" s="53">
        <v>11036</v>
      </c>
      <c r="D46" s="53">
        <v>1</v>
      </c>
      <c r="E46" s="5" t="s">
        <v>125</v>
      </c>
      <c r="F46" s="26">
        <v>4450</v>
      </c>
      <c r="G46" s="60">
        <f t="shared" si="4"/>
        <v>623.00000000000011</v>
      </c>
      <c r="H46" s="78">
        <f t="shared" si="5"/>
        <v>3827</v>
      </c>
    </row>
    <row r="47" spans="1:8" x14ac:dyDescent="0.25">
      <c r="A47" s="77">
        <v>17</v>
      </c>
      <c r="B47" s="5" t="s">
        <v>144</v>
      </c>
      <c r="C47" s="53">
        <v>11009</v>
      </c>
      <c r="D47" s="53">
        <v>1</v>
      </c>
      <c r="E47" s="5" t="s">
        <v>145</v>
      </c>
      <c r="F47" s="26">
        <v>9850</v>
      </c>
      <c r="G47" s="60">
        <f t="shared" si="4"/>
        <v>1379.0000000000002</v>
      </c>
      <c r="H47" s="78">
        <f t="shared" si="5"/>
        <v>8471</v>
      </c>
    </row>
    <row r="48" spans="1:8" x14ac:dyDescent="0.25">
      <c r="A48" s="77">
        <v>16</v>
      </c>
      <c r="B48" s="5" t="s">
        <v>142</v>
      </c>
      <c r="C48" s="53">
        <v>11002</v>
      </c>
      <c r="D48" s="53">
        <v>2</v>
      </c>
      <c r="E48" s="5" t="s">
        <v>143</v>
      </c>
      <c r="F48" s="26">
        <v>4100</v>
      </c>
      <c r="G48" s="60">
        <f t="shared" si="4"/>
        <v>574</v>
      </c>
      <c r="H48" s="78">
        <f t="shared" si="5"/>
        <v>3526</v>
      </c>
    </row>
    <row r="49" spans="1:8" x14ac:dyDescent="0.25">
      <c r="A49" s="77">
        <v>15</v>
      </c>
      <c r="B49" s="5" t="s">
        <v>141</v>
      </c>
      <c r="C49" s="53">
        <v>11010</v>
      </c>
      <c r="D49" s="53">
        <v>3</v>
      </c>
      <c r="E49" s="5" t="s">
        <v>134</v>
      </c>
      <c r="F49" s="26">
        <v>3600</v>
      </c>
      <c r="G49" s="60">
        <f t="shared" si="4"/>
        <v>504.00000000000006</v>
      </c>
      <c r="H49" s="78">
        <f t="shared" si="5"/>
        <v>3096</v>
      </c>
    </row>
    <row r="50" spans="1:8" x14ac:dyDescent="0.25">
      <c r="A50" s="77">
        <v>1</v>
      </c>
      <c r="B50" s="5" t="s">
        <v>118</v>
      </c>
      <c r="C50" s="53">
        <v>11043</v>
      </c>
      <c r="D50" s="53">
        <v>3</v>
      </c>
      <c r="E50" s="5" t="s">
        <v>119</v>
      </c>
      <c r="F50" s="26">
        <v>3850</v>
      </c>
      <c r="G50" s="60">
        <f t="shared" si="4"/>
        <v>539</v>
      </c>
      <c r="H50" s="78">
        <f t="shared" si="5"/>
        <v>3311</v>
      </c>
    </row>
    <row r="51" spans="1:8" x14ac:dyDescent="0.25">
      <c r="A51" s="77">
        <v>14</v>
      </c>
      <c r="B51" s="5" t="s">
        <v>139</v>
      </c>
      <c r="C51" s="53">
        <v>11023</v>
      </c>
      <c r="D51" s="39">
        <v>1</v>
      </c>
      <c r="E51" s="5" t="s">
        <v>140</v>
      </c>
      <c r="F51" s="26">
        <v>7200</v>
      </c>
      <c r="G51" s="60">
        <f t="shared" si="4"/>
        <v>1008.0000000000001</v>
      </c>
      <c r="H51" s="78">
        <f t="shared" si="5"/>
        <v>6192</v>
      </c>
    </row>
    <row r="52" spans="1:8" x14ac:dyDescent="0.25">
      <c r="A52" s="77">
        <v>13</v>
      </c>
      <c r="B52" s="5" t="s">
        <v>137</v>
      </c>
      <c r="C52" s="53">
        <v>11045</v>
      </c>
      <c r="D52" s="53">
        <v>1</v>
      </c>
      <c r="E52" s="5" t="s">
        <v>138</v>
      </c>
      <c r="F52" s="26">
        <v>2800</v>
      </c>
      <c r="G52" s="60">
        <f t="shared" si="4"/>
        <v>392.00000000000006</v>
      </c>
      <c r="H52" s="78">
        <f t="shared" si="5"/>
        <v>2408</v>
      </c>
    </row>
    <row r="53" spans="1:8" x14ac:dyDescent="0.25">
      <c r="A53" s="77">
        <v>9</v>
      </c>
      <c r="B53" s="5" t="s">
        <v>132</v>
      </c>
      <c r="C53" s="53">
        <v>11018</v>
      </c>
      <c r="D53" s="53">
        <v>2</v>
      </c>
      <c r="E53" s="5" t="s">
        <v>127</v>
      </c>
      <c r="F53" s="26">
        <v>6840</v>
      </c>
      <c r="G53" s="60">
        <f t="shared" si="4"/>
        <v>957.60000000000014</v>
      </c>
      <c r="H53" s="78">
        <f t="shared" si="5"/>
        <v>5882.4</v>
      </c>
    </row>
    <row r="54" spans="1:8" x14ac:dyDescent="0.25">
      <c r="A54" s="77">
        <v>3</v>
      </c>
      <c r="B54" s="5" t="s">
        <v>122</v>
      </c>
      <c r="C54" s="53">
        <v>11044</v>
      </c>
      <c r="D54" s="53">
        <v>2</v>
      </c>
      <c r="E54" s="5" t="s">
        <v>123</v>
      </c>
      <c r="F54" s="26">
        <v>4200</v>
      </c>
      <c r="G54" s="60">
        <f t="shared" si="4"/>
        <v>588</v>
      </c>
      <c r="H54" s="78">
        <f t="shared" si="5"/>
        <v>3612</v>
      </c>
    </row>
    <row r="55" spans="1:8" x14ac:dyDescent="0.25">
      <c r="A55" s="77">
        <v>12</v>
      </c>
      <c r="B55" s="5" t="s">
        <v>136</v>
      </c>
      <c r="C55" s="53">
        <v>11022</v>
      </c>
      <c r="D55" s="53">
        <v>3</v>
      </c>
      <c r="E55" s="5" t="s">
        <v>134</v>
      </c>
      <c r="F55" s="26">
        <v>3740</v>
      </c>
      <c r="G55" s="60">
        <f t="shared" si="4"/>
        <v>523.6</v>
      </c>
      <c r="H55" s="78">
        <f t="shared" si="5"/>
        <v>3216.4</v>
      </c>
    </row>
    <row r="56" spans="1:8" x14ac:dyDescent="0.25">
      <c r="A56" s="77">
        <v>11</v>
      </c>
      <c r="B56" s="5" t="s">
        <v>135</v>
      </c>
      <c r="C56" s="53">
        <v>11012</v>
      </c>
      <c r="D56" s="53">
        <v>3</v>
      </c>
      <c r="E56" s="5" t="s">
        <v>134</v>
      </c>
      <c r="F56" s="26">
        <v>3950</v>
      </c>
      <c r="G56" s="60">
        <f t="shared" si="4"/>
        <v>553</v>
      </c>
      <c r="H56" s="78">
        <f t="shared" si="5"/>
        <v>3397</v>
      </c>
    </row>
    <row r="57" spans="1:8" x14ac:dyDescent="0.25">
      <c r="A57" s="77">
        <v>10</v>
      </c>
      <c r="B57" s="5" t="s">
        <v>133</v>
      </c>
      <c r="C57" s="53">
        <v>11033</v>
      </c>
      <c r="D57" s="53">
        <v>2</v>
      </c>
      <c r="E57" s="5" t="s">
        <v>134</v>
      </c>
      <c r="F57" s="26">
        <v>3460</v>
      </c>
      <c r="G57" s="60">
        <f t="shared" si="4"/>
        <v>484.40000000000003</v>
      </c>
      <c r="H57" s="78">
        <f t="shared" si="5"/>
        <v>2975.6</v>
      </c>
    </row>
    <row r="58" spans="1:8" x14ac:dyDescent="0.25">
      <c r="A58" s="77">
        <v>8</v>
      </c>
      <c r="B58" s="5" t="s">
        <v>131</v>
      </c>
      <c r="C58" s="53">
        <v>11019</v>
      </c>
      <c r="D58" s="71">
        <v>1</v>
      </c>
      <c r="E58" s="5" t="s">
        <v>127</v>
      </c>
      <c r="F58" s="26">
        <v>6450</v>
      </c>
      <c r="G58" s="60">
        <f t="shared" si="4"/>
        <v>903.00000000000011</v>
      </c>
      <c r="H58" s="78">
        <f t="shared" si="5"/>
        <v>5547</v>
      </c>
    </row>
    <row r="59" spans="1:8" x14ac:dyDescent="0.25">
      <c r="A59" s="77">
        <v>7</v>
      </c>
      <c r="B59" s="5" t="s">
        <v>130</v>
      </c>
      <c r="C59" s="53">
        <v>11025</v>
      </c>
      <c r="D59" s="53">
        <v>2</v>
      </c>
      <c r="E59" s="5" t="s">
        <v>129</v>
      </c>
      <c r="F59" s="26">
        <v>7480</v>
      </c>
      <c r="G59" s="60">
        <f t="shared" si="4"/>
        <v>1047.2</v>
      </c>
      <c r="H59" s="78">
        <f t="shared" si="5"/>
        <v>6432.8</v>
      </c>
    </row>
    <row r="60" spans="1:8" x14ac:dyDescent="0.25">
      <c r="A60" s="77">
        <v>2</v>
      </c>
      <c r="B60" s="5" t="s">
        <v>120</v>
      </c>
      <c r="C60" s="53">
        <v>11028</v>
      </c>
      <c r="D60" s="53">
        <v>1</v>
      </c>
      <c r="E60" s="5" t="s">
        <v>121</v>
      </c>
      <c r="F60" s="26">
        <v>4500</v>
      </c>
      <c r="G60" s="60">
        <f t="shared" si="4"/>
        <v>630.00000000000011</v>
      </c>
      <c r="H60" s="78">
        <f t="shared" si="5"/>
        <v>3870</v>
      </c>
    </row>
    <row r="61" spans="1:8" x14ac:dyDescent="0.25">
      <c r="A61" s="77">
        <v>6</v>
      </c>
      <c r="B61" s="5" t="s">
        <v>128</v>
      </c>
      <c r="C61" s="53">
        <v>11014</v>
      </c>
      <c r="D61" s="53">
        <v>1</v>
      </c>
      <c r="E61" s="5" t="s">
        <v>129</v>
      </c>
      <c r="F61" s="26">
        <v>7600</v>
      </c>
      <c r="G61" s="60">
        <f t="shared" si="4"/>
        <v>1064</v>
      </c>
      <c r="H61" s="78">
        <f t="shared" si="5"/>
        <v>6536</v>
      </c>
    </row>
    <row r="62" spans="1:8" ht="15.75" thickBot="1" x14ac:dyDescent="0.3">
      <c r="A62" s="79">
        <v>5</v>
      </c>
      <c r="B62" s="80" t="s">
        <v>126</v>
      </c>
      <c r="C62" s="81">
        <v>11017</v>
      </c>
      <c r="D62" s="81">
        <v>3</v>
      </c>
      <c r="E62" s="80" t="s">
        <v>127</v>
      </c>
      <c r="F62" s="82">
        <v>6299</v>
      </c>
      <c r="G62" s="83">
        <f t="shared" si="4"/>
        <v>881.86000000000013</v>
      </c>
      <c r="H62" s="84">
        <f t="shared" si="5"/>
        <v>5417.1399999999994</v>
      </c>
    </row>
    <row r="63" spans="1:8" ht="15.75" thickBot="1" x14ac:dyDescent="0.3"/>
    <row r="64" spans="1:8" ht="15.75" thickBot="1" x14ac:dyDescent="0.3">
      <c r="A64" s="149" t="s">
        <v>151</v>
      </c>
      <c r="B64" s="150"/>
      <c r="C64" s="150"/>
      <c r="D64" s="150"/>
      <c r="E64" s="150"/>
      <c r="F64" s="150"/>
      <c r="G64" s="150"/>
      <c r="H64" s="151"/>
    </row>
    <row r="65" spans="1:8" x14ac:dyDescent="0.25">
      <c r="A65" s="72" t="s">
        <v>68</v>
      </c>
      <c r="B65" s="73" t="s">
        <v>111</v>
      </c>
      <c r="C65" s="74" t="s">
        <v>112</v>
      </c>
      <c r="D65" s="74" t="s">
        <v>113</v>
      </c>
      <c r="E65" s="74" t="s">
        <v>114</v>
      </c>
      <c r="F65" s="75" t="s">
        <v>115</v>
      </c>
      <c r="G65" s="74" t="s">
        <v>116</v>
      </c>
      <c r="H65" s="76" t="s">
        <v>117</v>
      </c>
    </row>
    <row r="66" spans="1:8" x14ac:dyDescent="0.25">
      <c r="A66" s="77">
        <v>2</v>
      </c>
      <c r="B66" s="5" t="s">
        <v>120</v>
      </c>
      <c r="C66" s="53">
        <v>11028</v>
      </c>
      <c r="D66" s="53">
        <v>1</v>
      </c>
      <c r="E66" s="5" t="s">
        <v>121</v>
      </c>
      <c r="F66" s="26">
        <v>4500</v>
      </c>
      <c r="G66" s="60">
        <f t="shared" ref="G66:G83" si="6">F66*0.14</f>
        <v>630.00000000000011</v>
      </c>
      <c r="H66" s="78">
        <f t="shared" ref="H66:H83" si="7">F66-G66</f>
        <v>3870</v>
      </c>
    </row>
    <row r="67" spans="1:8" x14ac:dyDescent="0.25">
      <c r="A67" s="77">
        <v>4</v>
      </c>
      <c r="B67" s="5" t="s">
        <v>124</v>
      </c>
      <c r="C67" s="53">
        <v>11036</v>
      </c>
      <c r="D67" s="53">
        <v>1</v>
      </c>
      <c r="E67" s="5" t="s">
        <v>125</v>
      </c>
      <c r="F67" s="26">
        <v>4450</v>
      </c>
      <c r="G67" s="60">
        <f t="shared" si="6"/>
        <v>623.00000000000011</v>
      </c>
      <c r="H67" s="78">
        <f t="shared" si="7"/>
        <v>3827</v>
      </c>
    </row>
    <row r="68" spans="1:8" x14ac:dyDescent="0.25">
      <c r="A68" s="77">
        <v>18</v>
      </c>
      <c r="B68" s="5" t="s">
        <v>146</v>
      </c>
      <c r="C68" s="53">
        <v>11003</v>
      </c>
      <c r="D68" s="53">
        <v>1</v>
      </c>
      <c r="E68" s="5" t="s">
        <v>147</v>
      </c>
      <c r="F68" s="26">
        <v>7800</v>
      </c>
      <c r="G68" s="60">
        <f t="shared" si="6"/>
        <v>1092</v>
      </c>
      <c r="H68" s="78">
        <f t="shared" si="7"/>
        <v>6708</v>
      </c>
    </row>
    <row r="69" spans="1:8" x14ac:dyDescent="0.25">
      <c r="A69" s="77">
        <v>17</v>
      </c>
      <c r="B69" s="5" t="s">
        <v>144</v>
      </c>
      <c r="C69" s="53">
        <v>11009</v>
      </c>
      <c r="D69" s="53">
        <v>1</v>
      </c>
      <c r="E69" s="5" t="s">
        <v>145</v>
      </c>
      <c r="F69" s="26">
        <v>9850</v>
      </c>
      <c r="G69" s="60">
        <f t="shared" si="6"/>
        <v>1379.0000000000002</v>
      </c>
      <c r="H69" s="78">
        <f t="shared" si="7"/>
        <v>8471</v>
      </c>
    </row>
    <row r="70" spans="1:8" x14ac:dyDescent="0.25">
      <c r="A70" s="77">
        <v>6</v>
      </c>
      <c r="B70" s="5" t="s">
        <v>128</v>
      </c>
      <c r="C70" s="53">
        <v>11014</v>
      </c>
      <c r="D70" s="53">
        <v>1</v>
      </c>
      <c r="E70" s="5" t="s">
        <v>129</v>
      </c>
      <c r="F70" s="26">
        <v>7600</v>
      </c>
      <c r="G70" s="60">
        <f t="shared" si="6"/>
        <v>1064</v>
      </c>
      <c r="H70" s="78">
        <f t="shared" si="7"/>
        <v>6536</v>
      </c>
    </row>
    <row r="71" spans="1:8" x14ac:dyDescent="0.25">
      <c r="A71" s="77">
        <v>8</v>
      </c>
      <c r="B71" s="5" t="s">
        <v>131</v>
      </c>
      <c r="C71" s="53">
        <v>11019</v>
      </c>
      <c r="D71" s="53">
        <v>1</v>
      </c>
      <c r="E71" s="5" t="s">
        <v>127</v>
      </c>
      <c r="F71" s="26">
        <v>6450</v>
      </c>
      <c r="G71" s="60">
        <f t="shared" si="6"/>
        <v>903.00000000000011</v>
      </c>
      <c r="H71" s="78">
        <f t="shared" si="7"/>
        <v>5547</v>
      </c>
    </row>
    <row r="72" spans="1:8" x14ac:dyDescent="0.25">
      <c r="A72" s="77">
        <v>13</v>
      </c>
      <c r="B72" s="5" t="s">
        <v>137</v>
      </c>
      <c r="C72" s="53">
        <v>11045</v>
      </c>
      <c r="D72" s="53">
        <v>1</v>
      </c>
      <c r="E72" s="5" t="s">
        <v>138</v>
      </c>
      <c r="F72" s="26">
        <v>2800</v>
      </c>
      <c r="G72" s="60">
        <f t="shared" si="6"/>
        <v>392.00000000000006</v>
      </c>
      <c r="H72" s="78">
        <f t="shared" si="7"/>
        <v>2408</v>
      </c>
    </row>
    <row r="73" spans="1:8" x14ac:dyDescent="0.25">
      <c r="A73" s="77">
        <v>14</v>
      </c>
      <c r="B73" s="5" t="s">
        <v>139</v>
      </c>
      <c r="C73" s="53">
        <v>11023</v>
      </c>
      <c r="D73" s="39">
        <v>1</v>
      </c>
      <c r="E73" s="5" t="s">
        <v>140</v>
      </c>
      <c r="F73" s="26">
        <v>7200</v>
      </c>
      <c r="G73" s="60">
        <f t="shared" si="6"/>
        <v>1008.0000000000001</v>
      </c>
      <c r="H73" s="78">
        <f t="shared" si="7"/>
        <v>6192</v>
      </c>
    </row>
    <row r="74" spans="1:8" x14ac:dyDescent="0.25">
      <c r="A74" s="77">
        <v>16</v>
      </c>
      <c r="B74" s="5" t="s">
        <v>142</v>
      </c>
      <c r="C74" s="53">
        <v>11002</v>
      </c>
      <c r="D74" s="53">
        <v>2</v>
      </c>
      <c r="E74" s="5" t="s">
        <v>143</v>
      </c>
      <c r="F74" s="26">
        <v>4100</v>
      </c>
      <c r="G74" s="60">
        <f t="shared" si="6"/>
        <v>574</v>
      </c>
      <c r="H74" s="78">
        <f t="shared" si="7"/>
        <v>3526</v>
      </c>
    </row>
    <row r="75" spans="1:8" x14ac:dyDescent="0.25">
      <c r="A75" s="77">
        <v>7</v>
      </c>
      <c r="B75" s="5" t="s">
        <v>130</v>
      </c>
      <c r="C75" s="53">
        <v>11025</v>
      </c>
      <c r="D75" s="53">
        <v>2</v>
      </c>
      <c r="E75" s="5" t="s">
        <v>129</v>
      </c>
      <c r="F75" s="26">
        <v>7480</v>
      </c>
      <c r="G75" s="60">
        <f t="shared" si="6"/>
        <v>1047.2</v>
      </c>
      <c r="H75" s="78">
        <f t="shared" si="7"/>
        <v>6432.8</v>
      </c>
    </row>
    <row r="76" spans="1:8" x14ac:dyDescent="0.25">
      <c r="A76" s="77">
        <v>10</v>
      </c>
      <c r="B76" s="5" t="s">
        <v>133</v>
      </c>
      <c r="C76" s="53">
        <v>11033</v>
      </c>
      <c r="D76" s="53">
        <v>2</v>
      </c>
      <c r="E76" s="5" t="s">
        <v>134</v>
      </c>
      <c r="F76" s="26">
        <v>3460</v>
      </c>
      <c r="G76" s="60">
        <f t="shared" si="6"/>
        <v>484.40000000000003</v>
      </c>
      <c r="H76" s="78">
        <f t="shared" si="7"/>
        <v>2975.6</v>
      </c>
    </row>
    <row r="77" spans="1:8" x14ac:dyDescent="0.25">
      <c r="A77" s="77">
        <v>9</v>
      </c>
      <c r="B77" s="5" t="s">
        <v>132</v>
      </c>
      <c r="C77" s="53">
        <v>11018</v>
      </c>
      <c r="D77" s="53">
        <v>2</v>
      </c>
      <c r="E77" s="5" t="s">
        <v>127</v>
      </c>
      <c r="F77" s="26">
        <v>6840</v>
      </c>
      <c r="G77" s="60">
        <f t="shared" si="6"/>
        <v>957.60000000000014</v>
      </c>
      <c r="H77" s="78">
        <f t="shared" si="7"/>
        <v>5882.4</v>
      </c>
    </row>
    <row r="78" spans="1:8" x14ac:dyDescent="0.25">
      <c r="A78" s="77">
        <v>3</v>
      </c>
      <c r="B78" s="5" t="s">
        <v>122</v>
      </c>
      <c r="C78" s="53">
        <v>11044</v>
      </c>
      <c r="D78" s="53">
        <v>2</v>
      </c>
      <c r="E78" s="5" t="s">
        <v>123</v>
      </c>
      <c r="F78" s="26">
        <v>4200</v>
      </c>
      <c r="G78" s="60">
        <f t="shared" si="6"/>
        <v>588</v>
      </c>
      <c r="H78" s="78">
        <f t="shared" si="7"/>
        <v>3612</v>
      </c>
    </row>
    <row r="79" spans="1:8" x14ac:dyDescent="0.25">
      <c r="A79" s="77">
        <v>1</v>
      </c>
      <c r="B79" s="5" t="s">
        <v>118</v>
      </c>
      <c r="C79" s="53">
        <v>11043</v>
      </c>
      <c r="D79" s="71">
        <v>3</v>
      </c>
      <c r="E79" s="5" t="s">
        <v>119</v>
      </c>
      <c r="F79" s="26">
        <v>3850</v>
      </c>
      <c r="G79" s="60">
        <f t="shared" si="6"/>
        <v>539</v>
      </c>
      <c r="H79" s="78">
        <f t="shared" si="7"/>
        <v>3311</v>
      </c>
    </row>
    <row r="80" spans="1:8" x14ac:dyDescent="0.25">
      <c r="A80" s="77">
        <v>15</v>
      </c>
      <c r="B80" s="5" t="s">
        <v>141</v>
      </c>
      <c r="C80" s="53">
        <v>11010</v>
      </c>
      <c r="D80" s="53">
        <v>3</v>
      </c>
      <c r="E80" s="5" t="s">
        <v>134</v>
      </c>
      <c r="F80" s="26">
        <v>3600</v>
      </c>
      <c r="G80" s="60">
        <f t="shared" si="6"/>
        <v>504.00000000000006</v>
      </c>
      <c r="H80" s="78">
        <f t="shared" si="7"/>
        <v>3096</v>
      </c>
    </row>
    <row r="81" spans="1:8" x14ac:dyDescent="0.25">
      <c r="A81" s="77">
        <v>11</v>
      </c>
      <c r="B81" s="5" t="s">
        <v>135</v>
      </c>
      <c r="C81" s="53">
        <v>11012</v>
      </c>
      <c r="D81" s="53">
        <v>3</v>
      </c>
      <c r="E81" s="5" t="s">
        <v>134</v>
      </c>
      <c r="F81" s="26">
        <v>3950</v>
      </c>
      <c r="G81" s="60">
        <f t="shared" si="6"/>
        <v>553</v>
      </c>
      <c r="H81" s="78">
        <f t="shared" si="7"/>
        <v>3397</v>
      </c>
    </row>
    <row r="82" spans="1:8" x14ac:dyDescent="0.25">
      <c r="A82" s="77">
        <v>12</v>
      </c>
      <c r="B82" s="5" t="s">
        <v>136</v>
      </c>
      <c r="C82" s="53">
        <v>11022</v>
      </c>
      <c r="D82" s="53">
        <v>3</v>
      </c>
      <c r="E82" s="5" t="s">
        <v>134</v>
      </c>
      <c r="F82" s="26">
        <v>3740</v>
      </c>
      <c r="G82" s="60">
        <f t="shared" si="6"/>
        <v>523.6</v>
      </c>
      <c r="H82" s="78">
        <f t="shared" si="7"/>
        <v>3216.4</v>
      </c>
    </row>
    <row r="83" spans="1:8" ht="15.75" thickBot="1" x14ac:dyDescent="0.3">
      <c r="A83" s="79">
        <v>5</v>
      </c>
      <c r="B83" s="80" t="s">
        <v>126</v>
      </c>
      <c r="C83" s="81">
        <v>11017</v>
      </c>
      <c r="D83" s="81">
        <v>3</v>
      </c>
      <c r="E83" s="80" t="s">
        <v>127</v>
      </c>
      <c r="F83" s="82">
        <v>6299</v>
      </c>
      <c r="G83" s="83">
        <f t="shared" si="6"/>
        <v>881.86000000000013</v>
      </c>
      <c r="H83" s="84">
        <f t="shared" si="7"/>
        <v>5417.1399999999994</v>
      </c>
    </row>
  </sheetData>
  <sortState ref="A66:H83">
    <sortCondition ref="D23:D40"/>
    <sortCondition ref="E23:E40"/>
    <sortCondition ref="C23:C40"/>
  </sortState>
  <mergeCells count="4">
    <mergeCell ref="A43:H43"/>
    <mergeCell ref="A64:H64"/>
    <mergeCell ref="A22:H22"/>
    <mergeCell ref="A1:H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P24"/>
  <sheetViews>
    <sheetView workbookViewId="0">
      <selection activeCell="F9" sqref="A2:F9"/>
    </sheetView>
  </sheetViews>
  <sheetFormatPr defaultRowHeight="15" x14ac:dyDescent="0.25"/>
  <cols>
    <col min="1" max="1" width="11.5703125" customWidth="1"/>
    <col min="2" max="2" width="7.7109375" customWidth="1"/>
    <col min="3" max="3" width="7.85546875" customWidth="1"/>
    <col min="4" max="4" width="12.7109375" customWidth="1"/>
    <col min="5" max="5" width="12.28515625" customWidth="1"/>
    <col min="6" max="6" width="17.42578125" customWidth="1"/>
    <col min="9" max="9" width="13" customWidth="1"/>
  </cols>
  <sheetData>
    <row r="1" spans="1:16" ht="15.75" thickBot="1" x14ac:dyDescent="0.3">
      <c r="A1" s="152" t="s">
        <v>152</v>
      </c>
      <c r="B1" s="153"/>
      <c r="C1" s="153"/>
      <c r="D1" s="153"/>
      <c r="E1" s="153"/>
      <c r="F1" s="154"/>
    </row>
    <row r="2" spans="1:16" ht="30.75" thickBot="1" x14ac:dyDescent="0.3">
      <c r="A2" s="94" t="s">
        <v>153</v>
      </c>
      <c r="B2" s="95" t="s">
        <v>31</v>
      </c>
      <c r="C2" s="96" t="s">
        <v>156</v>
      </c>
      <c r="D2" s="95" t="s">
        <v>33</v>
      </c>
      <c r="E2" s="97" t="s">
        <v>154</v>
      </c>
      <c r="F2" s="98" t="s">
        <v>155</v>
      </c>
      <c r="H2" s="24"/>
      <c r="I2" s="24"/>
      <c r="J2" s="24"/>
      <c r="K2" s="24"/>
    </row>
    <row r="3" spans="1:16" hidden="1" x14ac:dyDescent="0.25">
      <c r="A3" s="104" t="s">
        <v>163</v>
      </c>
      <c r="B3" s="105">
        <v>8.5</v>
      </c>
      <c r="C3" s="106">
        <v>500</v>
      </c>
      <c r="D3" s="105">
        <f t="shared" ref="D3:D12" si="0">B3*C3</f>
        <v>4250</v>
      </c>
      <c r="E3" s="107">
        <v>46169</v>
      </c>
      <c r="F3" s="108" t="str">
        <f t="shared" ref="F3:F12" ca="1" si="1">IF(E3&lt;TODAY(),"просроченно","не просроченно")</f>
        <v>просроченно</v>
      </c>
      <c r="H3" s="24"/>
      <c r="I3" s="102"/>
      <c r="J3" s="24"/>
      <c r="K3" s="24"/>
    </row>
    <row r="4" spans="1:16" hidden="1" x14ac:dyDescent="0.25">
      <c r="A4" s="86" t="s">
        <v>165</v>
      </c>
      <c r="B4" s="85">
        <v>31.2</v>
      </c>
      <c r="C4" s="7">
        <v>270</v>
      </c>
      <c r="D4" s="91">
        <f t="shared" si="0"/>
        <v>8424</v>
      </c>
      <c r="E4" s="101">
        <v>46171</v>
      </c>
      <c r="F4" s="93" t="str">
        <f t="shared" ca="1" si="1"/>
        <v>просроченно</v>
      </c>
      <c r="H4" s="24"/>
      <c r="I4" s="103"/>
      <c r="J4" s="103"/>
      <c r="K4" s="103"/>
      <c r="L4" s="100"/>
      <c r="M4" s="100"/>
    </row>
    <row r="5" spans="1:16" x14ac:dyDescent="0.25">
      <c r="A5" s="86" t="s">
        <v>159</v>
      </c>
      <c r="B5" s="85">
        <v>12.3</v>
      </c>
      <c r="C5" s="7">
        <v>35</v>
      </c>
      <c r="D5" s="91">
        <f t="shared" si="0"/>
        <v>430.5</v>
      </c>
      <c r="E5" s="101">
        <v>46165</v>
      </c>
      <c r="F5" s="93" t="str">
        <f t="shared" ca="1" si="1"/>
        <v>просроченно</v>
      </c>
      <c r="H5" s="24"/>
      <c r="I5" s="103"/>
      <c r="J5" s="103"/>
      <c r="K5" s="103"/>
      <c r="L5" s="100"/>
      <c r="M5" s="100"/>
    </row>
    <row r="6" spans="1:16" x14ac:dyDescent="0.25">
      <c r="A6" s="86" t="s">
        <v>157</v>
      </c>
      <c r="B6" s="85">
        <v>8.5</v>
      </c>
      <c r="C6" s="7">
        <v>125</v>
      </c>
      <c r="D6" s="91">
        <f t="shared" si="0"/>
        <v>1062.5</v>
      </c>
      <c r="E6" s="101">
        <v>46163</v>
      </c>
      <c r="F6" s="93" t="str">
        <f t="shared" ca="1" si="1"/>
        <v>просроченно</v>
      </c>
      <c r="H6" s="24"/>
      <c r="I6" s="103"/>
      <c r="J6" s="103"/>
      <c r="K6" s="24"/>
    </row>
    <row r="7" spans="1:16" hidden="1" x14ac:dyDescent="0.25">
      <c r="A7" s="86" t="s">
        <v>162</v>
      </c>
      <c r="B7" s="85">
        <v>24.5</v>
      </c>
      <c r="C7" s="7">
        <v>450</v>
      </c>
      <c r="D7" s="91">
        <f t="shared" si="0"/>
        <v>11025</v>
      </c>
      <c r="E7" s="101">
        <v>46168</v>
      </c>
      <c r="F7" s="93" t="str">
        <f t="shared" ca="1" si="1"/>
        <v>просроченно</v>
      </c>
      <c r="H7" s="24"/>
      <c r="I7" s="103"/>
      <c r="J7" s="103"/>
      <c r="K7" s="24"/>
    </row>
    <row r="8" spans="1:16" x14ac:dyDescent="0.25">
      <c r="A8" s="86" t="s">
        <v>160</v>
      </c>
      <c r="B8" s="85">
        <v>7.6</v>
      </c>
      <c r="C8" s="7">
        <v>320</v>
      </c>
      <c r="D8" s="91">
        <f t="shared" si="0"/>
        <v>2432</v>
      </c>
      <c r="E8" s="101">
        <v>46166</v>
      </c>
      <c r="F8" s="93" t="str">
        <f t="shared" ca="1" si="1"/>
        <v>просроченно</v>
      </c>
      <c r="H8" s="24"/>
      <c r="I8" s="103"/>
      <c r="J8" s="103"/>
      <c r="K8" s="24"/>
    </row>
    <row r="9" spans="1:16" x14ac:dyDescent="0.25">
      <c r="A9" s="86" t="s">
        <v>158</v>
      </c>
      <c r="B9" s="85">
        <v>8.5</v>
      </c>
      <c r="C9" s="7">
        <v>240</v>
      </c>
      <c r="D9" s="91">
        <f t="shared" si="0"/>
        <v>2040</v>
      </c>
      <c r="E9" s="101">
        <v>46164</v>
      </c>
      <c r="F9" s="93" t="str">
        <f t="shared" ca="1" si="1"/>
        <v>просроченно</v>
      </c>
      <c r="H9" s="24"/>
      <c r="I9" s="103"/>
      <c r="J9" s="103"/>
      <c r="K9" s="24"/>
    </row>
    <row r="10" spans="1:16" hidden="1" x14ac:dyDescent="0.25">
      <c r="A10" s="86" t="s">
        <v>158</v>
      </c>
      <c r="B10" s="85">
        <v>6.3</v>
      </c>
      <c r="C10" s="7">
        <v>610</v>
      </c>
      <c r="D10" s="91">
        <f t="shared" si="0"/>
        <v>3843</v>
      </c>
      <c r="E10" s="101">
        <v>46172</v>
      </c>
      <c r="F10" s="93" t="str">
        <f t="shared" ca="1" si="1"/>
        <v>просроченно</v>
      </c>
      <c r="I10" s="100"/>
      <c r="J10" s="100"/>
    </row>
    <row r="11" spans="1:16" hidden="1" x14ac:dyDescent="0.25">
      <c r="A11" s="86" t="s">
        <v>161</v>
      </c>
      <c r="B11" s="85">
        <v>7.8</v>
      </c>
      <c r="C11" s="7">
        <v>450</v>
      </c>
      <c r="D11" s="91">
        <f t="shared" si="0"/>
        <v>3510</v>
      </c>
      <c r="E11" s="101">
        <v>46167</v>
      </c>
      <c r="F11" s="93" t="str">
        <f t="shared" ca="1" si="1"/>
        <v>просроченно</v>
      </c>
      <c r="I11" s="100"/>
      <c r="J11" s="100"/>
    </row>
    <row r="12" spans="1:16" ht="15.75" hidden="1" thickBot="1" x14ac:dyDescent="0.3">
      <c r="A12" s="87" t="s">
        <v>164</v>
      </c>
      <c r="B12" s="88">
        <v>8</v>
      </c>
      <c r="C12" s="89">
        <v>370</v>
      </c>
      <c r="D12" s="109">
        <f t="shared" si="0"/>
        <v>2960</v>
      </c>
      <c r="E12" s="110">
        <v>46170</v>
      </c>
      <c r="F12" s="111" t="str">
        <f t="shared" ca="1" si="1"/>
        <v>просроченно</v>
      </c>
      <c r="I12" s="100"/>
      <c r="J12" s="100"/>
    </row>
    <row r="13" spans="1:16" x14ac:dyDescent="0.25">
      <c r="A13" s="55"/>
      <c r="B13" s="55"/>
      <c r="C13" s="55"/>
      <c r="D13" s="55"/>
      <c r="E13" s="55"/>
      <c r="F13" s="55"/>
      <c r="I13" s="100"/>
      <c r="J13" s="100"/>
    </row>
    <row r="14" spans="1:16" x14ac:dyDescent="0.25">
      <c r="I14" s="100"/>
      <c r="J14" s="100"/>
    </row>
    <row r="16" spans="1:16" x14ac:dyDescent="0.25">
      <c r="N16" s="100"/>
      <c r="O16" s="100"/>
      <c r="P16" s="100"/>
    </row>
    <row r="17" spans="14:16" x14ac:dyDescent="0.25">
      <c r="N17" s="100"/>
      <c r="O17" s="100"/>
      <c r="P17" s="100"/>
    </row>
    <row r="18" spans="14:16" x14ac:dyDescent="0.25">
      <c r="N18" s="100"/>
      <c r="O18" s="100"/>
      <c r="P18" s="100"/>
    </row>
    <row r="19" spans="14:16" x14ac:dyDescent="0.25">
      <c r="N19" s="100"/>
      <c r="O19" s="100"/>
      <c r="P19" s="100"/>
    </row>
    <row r="20" spans="14:16" x14ac:dyDescent="0.25">
      <c r="N20" s="100"/>
      <c r="O20" s="100"/>
      <c r="P20" s="100"/>
    </row>
    <row r="21" spans="14:16" x14ac:dyDescent="0.25">
      <c r="N21" s="100"/>
      <c r="O21" s="100"/>
      <c r="P21" s="100"/>
    </row>
    <row r="22" spans="14:16" x14ac:dyDescent="0.25">
      <c r="N22" s="100"/>
      <c r="O22" s="100"/>
      <c r="P22" s="100"/>
    </row>
    <row r="23" spans="14:16" x14ac:dyDescent="0.25">
      <c r="N23" s="100"/>
      <c r="O23" s="100"/>
      <c r="P23" s="100"/>
    </row>
    <row r="24" spans="14:16" x14ac:dyDescent="0.25">
      <c r="N24" s="100"/>
      <c r="O24" s="100"/>
      <c r="P24" s="100"/>
    </row>
  </sheetData>
  <autoFilter ref="A2:F12">
    <filterColumn colId="3">
      <customFilters>
        <customFilter operator="lessThan" val="4000"/>
      </customFilters>
    </filterColumn>
    <filterColumn colId="5">
      <filters>
        <filter val="просроченно"/>
      </filters>
    </filterColumn>
  </autoFilter>
  <sortState ref="A3:F12">
    <sortCondition ref="A3:A12"/>
    <sortCondition descending="1" ref="B3:B12"/>
  </sortState>
  <mergeCells count="1">
    <mergeCell ref="A1:F1"/>
  </mergeCells>
  <pageMargins left="0.7" right="0.7" top="0.75" bottom="0.75" header="0.3" footer="0.3"/>
  <pageSetup paperSize="9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selection activeCell="J16" sqref="J16"/>
    </sheetView>
  </sheetViews>
  <sheetFormatPr defaultRowHeight="15" x14ac:dyDescent="0.25"/>
  <cols>
    <col min="4" max="4" width="11" customWidth="1"/>
    <col min="5" max="5" width="16.85546875" customWidth="1"/>
    <col min="6" max="6" width="16.7109375" customWidth="1"/>
  </cols>
  <sheetData>
    <row r="1" spans="1:6" ht="30.75" thickBot="1" x14ac:dyDescent="0.3">
      <c r="A1" s="94" t="s">
        <v>153</v>
      </c>
      <c r="B1" s="95" t="s">
        <v>31</v>
      </c>
      <c r="C1" s="96" t="s">
        <v>156</v>
      </c>
      <c r="D1" s="95" t="s">
        <v>33</v>
      </c>
      <c r="E1" s="97" t="s">
        <v>154</v>
      </c>
      <c r="F1" s="98" t="s">
        <v>155</v>
      </c>
    </row>
    <row r="2" spans="1:6" x14ac:dyDescent="0.25">
      <c r="A2" s="104" t="s">
        <v>163</v>
      </c>
      <c r="B2" s="105">
        <v>8.5</v>
      </c>
      <c r="C2" s="106">
        <v>500</v>
      </c>
      <c r="D2" s="105">
        <f t="shared" ref="D2:D11" si="0">B2*C2</f>
        <v>4250</v>
      </c>
      <c r="E2" s="107">
        <v>46169</v>
      </c>
      <c r="F2" s="108" t="str">
        <f t="shared" ref="F2:F11" ca="1" si="1">IF(E2&lt;TODAY(),"просроченно","не просроченно")</f>
        <v>просроченно</v>
      </c>
    </row>
    <row r="3" spans="1:6" x14ac:dyDescent="0.25">
      <c r="A3" s="86" t="s">
        <v>165</v>
      </c>
      <c r="B3" s="85">
        <v>31.2</v>
      </c>
      <c r="C3" s="7">
        <v>270</v>
      </c>
      <c r="D3" s="91">
        <f t="shared" si="0"/>
        <v>8424</v>
      </c>
      <c r="E3" s="101">
        <v>46171</v>
      </c>
      <c r="F3" s="93" t="str">
        <f t="shared" ca="1" si="1"/>
        <v>просроченно</v>
      </c>
    </row>
    <row r="4" spans="1:6" x14ac:dyDescent="0.25">
      <c r="A4" s="86" t="s">
        <v>159</v>
      </c>
      <c r="B4" s="85">
        <v>12.3</v>
      </c>
      <c r="C4" s="7">
        <v>35</v>
      </c>
      <c r="D4" s="91">
        <f t="shared" si="0"/>
        <v>430.5</v>
      </c>
      <c r="E4" s="101">
        <v>46165</v>
      </c>
      <c r="F4" s="93" t="str">
        <f t="shared" ca="1" si="1"/>
        <v>просроченно</v>
      </c>
    </row>
    <row r="5" spans="1:6" x14ac:dyDescent="0.25">
      <c r="A5" s="86" t="s">
        <v>157</v>
      </c>
      <c r="B5" s="85">
        <v>8.5</v>
      </c>
      <c r="C5" s="7">
        <v>125</v>
      </c>
      <c r="D5" s="91">
        <f t="shared" si="0"/>
        <v>1062.5</v>
      </c>
      <c r="E5" s="101">
        <v>46163</v>
      </c>
      <c r="F5" s="93" t="str">
        <f t="shared" ca="1" si="1"/>
        <v>просроченно</v>
      </c>
    </row>
    <row r="6" spans="1:6" x14ac:dyDescent="0.25">
      <c r="A6" s="86" t="s">
        <v>162</v>
      </c>
      <c r="B6" s="85">
        <v>24.5</v>
      </c>
      <c r="C6" s="7">
        <v>450</v>
      </c>
      <c r="D6" s="91">
        <f t="shared" si="0"/>
        <v>11025</v>
      </c>
      <c r="E6" s="101">
        <v>46168</v>
      </c>
      <c r="F6" s="93" t="str">
        <f t="shared" ca="1" si="1"/>
        <v>просроченно</v>
      </c>
    </row>
    <row r="7" spans="1:6" x14ac:dyDescent="0.25">
      <c r="A7" s="86" t="s">
        <v>160</v>
      </c>
      <c r="B7" s="85">
        <v>7.6</v>
      </c>
      <c r="C7" s="7">
        <v>320</v>
      </c>
      <c r="D7" s="91">
        <f t="shared" si="0"/>
        <v>2432</v>
      </c>
      <c r="E7" s="101">
        <v>46166</v>
      </c>
      <c r="F7" s="93" t="str">
        <f t="shared" ca="1" si="1"/>
        <v>просроченно</v>
      </c>
    </row>
    <row r="8" spans="1:6" x14ac:dyDescent="0.25">
      <c r="A8" s="86" t="s">
        <v>158</v>
      </c>
      <c r="B8" s="85">
        <v>8.5</v>
      </c>
      <c r="C8" s="7">
        <v>240</v>
      </c>
      <c r="D8" s="91">
        <f t="shared" si="0"/>
        <v>2040</v>
      </c>
      <c r="E8" s="101">
        <v>46164</v>
      </c>
      <c r="F8" s="93" t="str">
        <f t="shared" ca="1" si="1"/>
        <v>просроченно</v>
      </c>
    </row>
    <row r="9" spans="1:6" x14ac:dyDescent="0.25">
      <c r="A9" s="86" t="s">
        <v>158</v>
      </c>
      <c r="B9" s="85">
        <v>6.3</v>
      </c>
      <c r="C9" s="7">
        <v>610</v>
      </c>
      <c r="D9" s="91">
        <f t="shared" si="0"/>
        <v>3843</v>
      </c>
      <c r="E9" s="101">
        <v>46172</v>
      </c>
      <c r="F9" s="93" t="str">
        <f t="shared" ca="1" si="1"/>
        <v>просроченно</v>
      </c>
    </row>
    <row r="10" spans="1:6" x14ac:dyDescent="0.25">
      <c r="A10" s="86" t="s">
        <v>161</v>
      </c>
      <c r="B10" s="85">
        <v>7.8</v>
      </c>
      <c r="C10" s="7">
        <v>450</v>
      </c>
      <c r="D10" s="91">
        <f t="shared" si="0"/>
        <v>3510</v>
      </c>
      <c r="E10" s="101">
        <v>46167</v>
      </c>
      <c r="F10" s="93" t="str">
        <f t="shared" ca="1" si="1"/>
        <v>просроченно</v>
      </c>
    </row>
    <row r="11" spans="1:6" ht="15.75" thickBot="1" x14ac:dyDescent="0.3">
      <c r="A11" s="87" t="s">
        <v>164</v>
      </c>
      <c r="B11" s="88">
        <v>8</v>
      </c>
      <c r="C11" s="89">
        <v>370</v>
      </c>
      <c r="D11" s="109">
        <f t="shared" si="0"/>
        <v>2960</v>
      </c>
      <c r="E11" s="110">
        <v>46170</v>
      </c>
      <c r="F11" s="111" t="str">
        <f t="shared" ca="1" si="1"/>
        <v>просроченно</v>
      </c>
    </row>
    <row r="13" spans="1:6" x14ac:dyDescent="0.25">
      <c r="A13" s="70"/>
      <c r="B13" s="70"/>
      <c r="C13" s="112"/>
      <c r="D13" s="70"/>
      <c r="E13" s="113"/>
      <c r="F13" s="70"/>
    </row>
    <row r="14" spans="1:6" x14ac:dyDescent="0.25">
      <c r="A14" s="114"/>
      <c r="B14" s="115"/>
      <c r="C14" s="65"/>
      <c r="D14" s="115"/>
      <c r="E14" s="102"/>
      <c r="F14" s="65"/>
    </row>
    <row r="15" spans="1:6" x14ac:dyDescent="0.25">
      <c r="A15" s="114"/>
      <c r="B15" s="115"/>
      <c r="C15" s="65"/>
      <c r="D15" s="115"/>
      <c r="E15" s="102"/>
      <c r="F15" s="65"/>
    </row>
    <row r="16" spans="1:6" x14ac:dyDescent="0.25">
      <c r="A16" s="114"/>
      <c r="B16" s="115"/>
      <c r="C16" s="65"/>
      <c r="D16" s="115"/>
      <c r="E16" s="102"/>
      <c r="F16" s="65"/>
    </row>
    <row r="17" spans="1:6" x14ac:dyDescent="0.25">
      <c r="A17" s="114"/>
      <c r="B17" s="115"/>
      <c r="C17" s="65"/>
      <c r="D17" s="115"/>
      <c r="E17" s="102"/>
      <c r="F17" s="65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"/>
  <sheetViews>
    <sheetView workbookViewId="0">
      <selection activeCell="I18" sqref="I18"/>
    </sheetView>
  </sheetViews>
  <sheetFormatPr defaultRowHeight="15" x14ac:dyDescent="0.25"/>
  <cols>
    <col min="4" max="4" width="11.140625" customWidth="1"/>
    <col min="5" max="5" width="13.85546875" customWidth="1"/>
    <col min="6" max="6" width="16.85546875" customWidth="1"/>
    <col min="8" max="8" width="11.7109375" customWidth="1"/>
    <col min="10" max="10" width="13.42578125" customWidth="1"/>
    <col min="11" max="11" width="12.28515625" customWidth="1"/>
    <col min="12" max="12" width="16.85546875" customWidth="1"/>
    <col min="13" max="13" width="21.28515625" customWidth="1"/>
  </cols>
  <sheetData>
    <row r="1" spans="1:13" ht="33.75" customHeight="1" thickBot="1" x14ac:dyDescent="0.3">
      <c r="A1" s="161" t="s">
        <v>168</v>
      </c>
      <c r="B1" s="162"/>
      <c r="C1" s="162"/>
      <c r="D1" s="162"/>
      <c r="E1" s="162"/>
      <c r="F1" s="163"/>
      <c r="H1" s="155" t="s">
        <v>169</v>
      </c>
      <c r="I1" s="156"/>
      <c r="J1" s="156"/>
      <c r="K1" s="156"/>
      <c r="L1" s="156"/>
      <c r="M1" s="157"/>
    </row>
    <row r="2" spans="1:13" ht="30.75" thickBot="1" x14ac:dyDescent="0.3">
      <c r="A2" s="94" t="s">
        <v>153</v>
      </c>
      <c r="B2" s="95" t="s">
        <v>31</v>
      </c>
      <c r="C2" s="96" t="s">
        <v>156</v>
      </c>
      <c r="D2" s="95" t="s">
        <v>33</v>
      </c>
      <c r="E2" s="97" t="s">
        <v>154</v>
      </c>
      <c r="F2" s="98" t="s">
        <v>155</v>
      </c>
      <c r="H2" s="116" t="s">
        <v>153</v>
      </c>
      <c r="I2" s="95" t="s">
        <v>31</v>
      </c>
      <c r="J2" s="96" t="s">
        <v>156</v>
      </c>
      <c r="K2" s="95" t="s">
        <v>33</v>
      </c>
      <c r="L2" s="97" t="s">
        <v>154</v>
      </c>
      <c r="M2" s="98" t="s">
        <v>155</v>
      </c>
    </row>
    <row r="3" spans="1:13" x14ac:dyDescent="0.25">
      <c r="A3" s="86" t="s">
        <v>159</v>
      </c>
      <c r="B3" s="85">
        <v>12.3</v>
      </c>
      <c r="C3" s="7">
        <v>35</v>
      </c>
      <c r="D3" s="91">
        <v>430.5</v>
      </c>
      <c r="E3" s="101">
        <v>46165</v>
      </c>
      <c r="F3" s="93" t="s">
        <v>166</v>
      </c>
      <c r="H3" s="90" t="s">
        <v>163</v>
      </c>
      <c r="I3" s="91">
        <v>8.5</v>
      </c>
      <c r="J3" s="92">
        <v>500</v>
      </c>
      <c r="K3" s="91">
        <v>4250</v>
      </c>
      <c r="L3" s="101">
        <v>46169</v>
      </c>
      <c r="M3" s="93" t="s">
        <v>167</v>
      </c>
    </row>
    <row r="4" spans="1:13" x14ac:dyDescent="0.25">
      <c r="A4" s="86" t="s">
        <v>157</v>
      </c>
      <c r="B4" s="85">
        <v>8.5</v>
      </c>
      <c r="C4" s="7">
        <v>125</v>
      </c>
      <c r="D4" s="91">
        <v>1062.5</v>
      </c>
      <c r="E4" s="101">
        <v>46163</v>
      </c>
      <c r="F4" s="93" t="s">
        <v>166</v>
      </c>
      <c r="H4" s="86" t="s">
        <v>162</v>
      </c>
      <c r="I4" s="85">
        <v>24.5</v>
      </c>
      <c r="J4" s="7">
        <v>450</v>
      </c>
      <c r="K4" s="91">
        <v>11025</v>
      </c>
      <c r="L4" s="101">
        <v>46168</v>
      </c>
      <c r="M4" s="93" t="s">
        <v>167</v>
      </c>
    </row>
    <row r="5" spans="1:13" x14ac:dyDescent="0.25">
      <c r="A5" s="86" t="s">
        <v>160</v>
      </c>
      <c r="B5" s="85">
        <v>7.6</v>
      </c>
      <c r="C5" s="7">
        <v>320</v>
      </c>
      <c r="D5" s="91">
        <v>2432</v>
      </c>
      <c r="E5" s="101">
        <v>46166</v>
      </c>
      <c r="F5" s="93" t="s">
        <v>166</v>
      </c>
      <c r="H5" s="86" t="s">
        <v>158</v>
      </c>
      <c r="I5" s="85">
        <v>6.3</v>
      </c>
      <c r="J5" s="7">
        <v>610</v>
      </c>
      <c r="K5" s="91">
        <v>3843</v>
      </c>
      <c r="L5" s="101">
        <v>46172</v>
      </c>
      <c r="M5" s="93" t="s">
        <v>167</v>
      </c>
    </row>
    <row r="6" spans="1:13" ht="15.75" thickBot="1" x14ac:dyDescent="0.3">
      <c r="A6" s="87" t="s">
        <v>158</v>
      </c>
      <c r="B6" s="88">
        <v>8.5</v>
      </c>
      <c r="C6" s="89">
        <v>240</v>
      </c>
      <c r="D6" s="109">
        <v>2040</v>
      </c>
      <c r="E6" s="110">
        <v>46164</v>
      </c>
      <c r="F6" s="111" t="s">
        <v>166</v>
      </c>
      <c r="H6" s="86" t="s">
        <v>161</v>
      </c>
      <c r="I6" s="85">
        <v>7.8</v>
      </c>
      <c r="J6" s="7">
        <v>450</v>
      </c>
      <c r="K6" s="91">
        <v>3510</v>
      </c>
      <c r="L6" s="101">
        <v>46167</v>
      </c>
      <c r="M6" s="93" t="s">
        <v>167</v>
      </c>
    </row>
    <row r="7" spans="1:13" ht="15.75" thickBot="1" x14ac:dyDescent="0.3">
      <c r="H7" s="87" t="s">
        <v>164</v>
      </c>
      <c r="I7" s="88">
        <v>8</v>
      </c>
      <c r="J7" s="89">
        <v>370</v>
      </c>
      <c r="K7" s="109">
        <v>2960</v>
      </c>
      <c r="L7" s="110">
        <v>46170</v>
      </c>
      <c r="M7" s="111" t="s">
        <v>167</v>
      </c>
    </row>
    <row r="8" spans="1:13" ht="32.25" customHeight="1" thickBot="1" x14ac:dyDescent="0.3">
      <c r="A8" s="158" t="s">
        <v>170</v>
      </c>
      <c r="B8" s="159"/>
      <c r="C8" s="159"/>
      <c r="D8" s="159"/>
      <c r="E8" s="159"/>
      <c r="F8" s="160"/>
    </row>
    <row r="9" spans="1:13" ht="30.75" thickBot="1" x14ac:dyDescent="0.3">
      <c r="A9" s="94" t="s">
        <v>153</v>
      </c>
      <c r="B9" s="95" t="s">
        <v>31</v>
      </c>
      <c r="C9" s="96" t="s">
        <v>156</v>
      </c>
      <c r="D9" s="95" t="s">
        <v>33</v>
      </c>
      <c r="E9" s="97" t="s">
        <v>154</v>
      </c>
      <c r="F9" s="98" t="s">
        <v>155</v>
      </c>
      <c r="H9" s="161" t="s">
        <v>171</v>
      </c>
      <c r="I9" s="162"/>
      <c r="J9" s="162"/>
      <c r="K9" s="162"/>
      <c r="L9" s="162"/>
      <c r="M9" s="163"/>
    </row>
    <row r="10" spans="1:13" ht="20.25" customHeight="1" thickBot="1" x14ac:dyDescent="0.3">
      <c r="A10" s="87" t="s">
        <v>159</v>
      </c>
      <c r="B10" s="88">
        <v>12.3</v>
      </c>
      <c r="C10" s="89">
        <v>35</v>
      </c>
      <c r="D10" s="109">
        <v>430.5</v>
      </c>
      <c r="E10" s="110">
        <v>46165</v>
      </c>
      <c r="F10" s="111" t="s">
        <v>166</v>
      </c>
      <c r="H10" s="94" t="s">
        <v>153</v>
      </c>
      <c r="I10" s="95" t="s">
        <v>31</v>
      </c>
      <c r="J10" s="96" t="s">
        <v>156</v>
      </c>
      <c r="K10" s="95" t="s">
        <v>33</v>
      </c>
      <c r="L10" s="97" t="s">
        <v>154</v>
      </c>
      <c r="M10" s="98" t="s">
        <v>155</v>
      </c>
    </row>
    <row r="11" spans="1:13" x14ac:dyDescent="0.25">
      <c r="H11" s="117" t="s">
        <v>159</v>
      </c>
      <c r="I11" s="118">
        <v>12.3</v>
      </c>
      <c r="J11" s="20">
        <v>35</v>
      </c>
      <c r="K11" s="118">
        <v>430.5</v>
      </c>
      <c r="L11" s="119">
        <v>46165</v>
      </c>
      <c r="M11" s="120" t="s">
        <v>166</v>
      </c>
    </row>
    <row r="12" spans="1:13" ht="15" customHeight="1" x14ac:dyDescent="0.25">
      <c r="H12" s="121" t="s">
        <v>157</v>
      </c>
      <c r="I12" s="122">
        <v>8.5</v>
      </c>
      <c r="J12" s="69">
        <v>125</v>
      </c>
      <c r="K12" s="118">
        <v>1062.5</v>
      </c>
      <c r="L12" s="119">
        <v>46163</v>
      </c>
      <c r="M12" s="120" t="s">
        <v>166</v>
      </c>
    </row>
    <row r="13" spans="1:13" x14ac:dyDescent="0.25">
      <c r="H13" s="121" t="s">
        <v>160</v>
      </c>
      <c r="I13" s="122">
        <v>7.6</v>
      </c>
      <c r="J13" s="69">
        <v>320</v>
      </c>
      <c r="K13" s="118">
        <v>2432</v>
      </c>
      <c r="L13" s="119">
        <v>46166</v>
      </c>
      <c r="M13" s="120" t="s">
        <v>166</v>
      </c>
    </row>
    <row r="14" spans="1:13" ht="15.75" thickBot="1" x14ac:dyDescent="0.3">
      <c r="H14" s="123" t="s">
        <v>158</v>
      </c>
      <c r="I14" s="124">
        <v>8.5</v>
      </c>
      <c r="J14" s="81">
        <v>240</v>
      </c>
      <c r="K14" s="125">
        <v>2040</v>
      </c>
      <c r="L14" s="126">
        <v>46164</v>
      </c>
      <c r="M14" s="127" t="s">
        <v>166</v>
      </c>
    </row>
  </sheetData>
  <mergeCells count="4">
    <mergeCell ref="H1:M1"/>
    <mergeCell ref="A8:F8"/>
    <mergeCell ref="A1:F1"/>
    <mergeCell ref="H9:M9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1"/>
  <sheetViews>
    <sheetView tabSelected="1" workbookViewId="0">
      <selection activeCell="L1" sqref="L1:O14"/>
    </sheetView>
  </sheetViews>
  <sheetFormatPr defaultRowHeight="15" x14ac:dyDescent="0.25"/>
  <cols>
    <col min="1" max="1" width="8.5703125" customWidth="1"/>
    <col min="2" max="2" width="8.7109375" customWidth="1"/>
    <col min="3" max="3" width="36.5703125" customWidth="1"/>
    <col min="4" max="4" width="11.42578125" customWidth="1"/>
    <col min="5" max="5" width="10.140625" customWidth="1"/>
    <col min="6" max="6" width="10.5703125" customWidth="1"/>
    <col min="7" max="7" width="1.7109375" customWidth="1"/>
    <col min="8" max="8" width="10.85546875" customWidth="1"/>
    <col min="13" max="13" width="11.28515625" customWidth="1"/>
    <col min="14" max="14" width="16.28515625" customWidth="1"/>
    <col min="15" max="15" width="16" customWidth="1"/>
  </cols>
  <sheetData>
    <row r="1" spans="1:15" ht="15.75" thickBot="1" x14ac:dyDescent="0.3">
      <c r="A1" s="58" t="s">
        <v>174</v>
      </c>
      <c r="B1" s="58" t="s">
        <v>174</v>
      </c>
      <c r="C1" s="172" t="s">
        <v>114</v>
      </c>
      <c r="D1" s="173" t="s">
        <v>175</v>
      </c>
      <c r="E1" s="173" t="s">
        <v>176</v>
      </c>
      <c r="F1" s="173" t="s">
        <v>177</v>
      </c>
      <c r="H1" s="99" t="s">
        <v>186</v>
      </c>
      <c r="L1" s="152" t="s">
        <v>189</v>
      </c>
      <c r="M1" s="164"/>
      <c r="N1" s="164"/>
      <c r="O1" s="165"/>
    </row>
    <row r="2" spans="1:15" ht="15.75" thickBot="1" x14ac:dyDescent="0.3">
      <c r="A2" s="58" t="s">
        <v>172</v>
      </c>
      <c r="B2" s="58" t="s">
        <v>173</v>
      </c>
      <c r="C2" s="172"/>
      <c r="D2" s="173"/>
      <c r="E2" s="173"/>
      <c r="F2" s="173"/>
      <c r="H2" s="99" t="s">
        <v>187</v>
      </c>
      <c r="L2" s="137" t="s">
        <v>190</v>
      </c>
      <c r="M2" s="134" t="s">
        <v>114</v>
      </c>
      <c r="N2" s="134" t="s">
        <v>192</v>
      </c>
      <c r="O2" s="138" t="s">
        <v>191</v>
      </c>
    </row>
    <row r="3" spans="1:15" x14ac:dyDescent="0.25">
      <c r="A3" s="129">
        <v>1</v>
      </c>
      <c r="B3" s="129">
        <v>0</v>
      </c>
      <c r="C3" s="41" t="s">
        <v>178</v>
      </c>
      <c r="D3" s="131">
        <f>H3</f>
        <v>151.29770992366412</v>
      </c>
      <c r="E3" s="41">
        <v>5</v>
      </c>
      <c r="F3" s="131">
        <f>D3*E3</f>
        <v>756.48854961832058</v>
      </c>
      <c r="H3" s="132">
        <v>151.29770992366412</v>
      </c>
      <c r="L3" s="166">
        <v>1</v>
      </c>
      <c r="M3" s="135" t="s">
        <v>178</v>
      </c>
      <c r="N3" s="135">
        <v>5</v>
      </c>
      <c r="O3" s="169">
        <f>H3</f>
        <v>151.29770992366412</v>
      </c>
    </row>
    <row r="4" spans="1:15" x14ac:dyDescent="0.25">
      <c r="A4" s="129">
        <v>1.5</v>
      </c>
      <c r="B4" s="129">
        <v>0</v>
      </c>
      <c r="C4" s="41" t="s">
        <v>179</v>
      </c>
      <c r="D4" s="131">
        <f>$H$3*A4+B4</f>
        <v>226.94656488549617</v>
      </c>
      <c r="E4" s="41">
        <v>8</v>
      </c>
      <c r="F4" s="131">
        <f t="shared" ref="F4:F10" si="0">D4*E4</f>
        <v>1815.5725190839694</v>
      </c>
      <c r="L4" s="167"/>
      <c r="M4" s="41" t="s">
        <v>179</v>
      </c>
      <c r="N4" s="41">
        <v>8</v>
      </c>
      <c r="O4" s="170"/>
    </row>
    <row r="5" spans="1:15" ht="15.75" thickBot="1" x14ac:dyDescent="0.3">
      <c r="A5" s="129">
        <v>3</v>
      </c>
      <c r="B5" s="129">
        <v>0</v>
      </c>
      <c r="C5" s="41" t="s">
        <v>180</v>
      </c>
      <c r="D5" s="131">
        <f t="shared" ref="D5:D10" si="1">$H$3*A5+B5</f>
        <v>453.89312977099235</v>
      </c>
      <c r="E5" s="41">
        <v>10</v>
      </c>
      <c r="F5" s="131">
        <f t="shared" si="0"/>
        <v>4538.9312977099235</v>
      </c>
      <c r="L5" s="168"/>
      <c r="M5" s="136" t="s">
        <v>180</v>
      </c>
      <c r="N5" s="136">
        <v>10</v>
      </c>
      <c r="O5" s="171"/>
    </row>
    <row r="6" spans="1:15" x14ac:dyDescent="0.25">
      <c r="A6" s="129">
        <v>3</v>
      </c>
      <c r="B6" s="129">
        <v>30</v>
      </c>
      <c r="C6" s="41" t="s">
        <v>182</v>
      </c>
      <c r="D6" s="131">
        <f t="shared" si="1"/>
        <v>483.89312977099235</v>
      </c>
      <c r="E6" s="41">
        <v>1</v>
      </c>
      <c r="F6" s="131">
        <f t="shared" si="0"/>
        <v>483.89312977099235</v>
      </c>
      <c r="L6" s="166">
        <v>2</v>
      </c>
      <c r="M6" s="135" t="s">
        <v>178</v>
      </c>
      <c r="N6" s="135">
        <v>6</v>
      </c>
      <c r="O6" s="169">
        <f>H16</f>
        <v>12.608142493638798</v>
      </c>
    </row>
    <row r="7" spans="1:15" x14ac:dyDescent="0.25">
      <c r="A7" s="129">
        <v>2</v>
      </c>
      <c r="B7" s="129">
        <v>0</v>
      </c>
      <c r="C7" s="130" t="s">
        <v>183</v>
      </c>
      <c r="D7" s="131">
        <f t="shared" si="1"/>
        <v>302.59541984732823</v>
      </c>
      <c r="E7" s="41">
        <v>3</v>
      </c>
      <c r="F7" s="131">
        <f t="shared" si="0"/>
        <v>907.78625954198469</v>
      </c>
      <c r="L7" s="167"/>
      <c r="M7" s="41" t="s">
        <v>179</v>
      </c>
      <c r="N7" s="41">
        <v>9</v>
      </c>
      <c r="O7" s="170"/>
    </row>
    <row r="8" spans="1:15" ht="15.75" thickBot="1" x14ac:dyDescent="0.3">
      <c r="A8" s="129">
        <v>1.5</v>
      </c>
      <c r="B8" s="129">
        <v>40</v>
      </c>
      <c r="C8" s="130" t="s">
        <v>181</v>
      </c>
      <c r="D8" s="131">
        <f t="shared" si="1"/>
        <v>266.94656488549617</v>
      </c>
      <c r="E8" s="41">
        <v>1</v>
      </c>
      <c r="F8" s="131">
        <f t="shared" si="0"/>
        <v>266.94656488549617</v>
      </c>
      <c r="L8" s="168"/>
      <c r="M8" s="136" t="s">
        <v>180</v>
      </c>
      <c r="N8" s="136">
        <v>11</v>
      </c>
      <c r="O8" s="171"/>
    </row>
    <row r="9" spans="1:15" x14ac:dyDescent="0.25">
      <c r="A9" s="129">
        <v>4</v>
      </c>
      <c r="B9" s="129">
        <v>0</v>
      </c>
      <c r="C9" s="130" t="s">
        <v>184</v>
      </c>
      <c r="D9" s="131">
        <f t="shared" si="1"/>
        <v>605.19083969465646</v>
      </c>
      <c r="E9" s="41">
        <v>1</v>
      </c>
      <c r="F9" s="131">
        <f t="shared" si="0"/>
        <v>605.19083969465646</v>
      </c>
      <c r="L9" s="166">
        <v>3</v>
      </c>
      <c r="M9" s="135" t="s">
        <v>178</v>
      </c>
      <c r="N9" s="135">
        <v>7</v>
      </c>
      <c r="O9" s="169">
        <f>H29</f>
        <v>-86.455834242093786</v>
      </c>
    </row>
    <row r="10" spans="1:15" x14ac:dyDescent="0.25">
      <c r="A10" s="129">
        <v>4</v>
      </c>
      <c r="B10" s="129">
        <v>20</v>
      </c>
      <c r="C10" s="130" t="s">
        <v>185</v>
      </c>
      <c r="D10" s="131">
        <f t="shared" si="1"/>
        <v>625.19083969465646</v>
      </c>
      <c r="E10" s="41">
        <v>1</v>
      </c>
      <c r="F10" s="131">
        <f t="shared" si="0"/>
        <v>625.19083969465646</v>
      </c>
      <c r="L10" s="167"/>
      <c r="M10" s="41" t="s">
        <v>179</v>
      </c>
      <c r="N10" s="41">
        <v>10</v>
      </c>
      <c r="O10" s="170"/>
    </row>
    <row r="11" spans="1:15" ht="15.75" thickBot="1" x14ac:dyDescent="0.3">
      <c r="A11" s="128"/>
      <c r="B11" s="128"/>
      <c r="D11" s="57"/>
      <c r="L11" s="168"/>
      <c r="M11" s="136" t="s">
        <v>180</v>
      </c>
      <c r="N11" s="136">
        <v>12</v>
      </c>
      <c r="O11" s="171"/>
    </row>
    <row r="12" spans="1:15" x14ac:dyDescent="0.25">
      <c r="C12" s="99" t="s">
        <v>188</v>
      </c>
      <c r="D12" s="57">
        <f>SUM(D3:D10)</f>
        <v>3115.9541984732823</v>
      </c>
      <c r="F12" s="57">
        <f>SUM(F3:F10)</f>
        <v>10000</v>
      </c>
      <c r="L12" s="166">
        <v>4</v>
      </c>
      <c r="M12" s="135" t="s">
        <v>178</v>
      </c>
      <c r="N12" s="135">
        <v>7</v>
      </c>
      <c r="O12" s="169">
        <f>H42</f>
        <v>-21.613958560523393</v>
      </c>
    </row>
    <row r="13" spans="1:15" x14ac:dyDescent="0.25">
      <c r="L13" s="167"/>
      <c r="M13" s="41" t="s">
        <v>179</v>
      </c>
      <c r="N13" s="41">
        <v>10</v>
      </c>
      <c r="O13" s="170"/>
    </row>
    <row r="14" spans="1:15" ht="15.75" thickBot="1" x14ac:dyDescent="0.3">
      <c r="A14" s="58" t="s">
        <v>174</v>
      </c>
      <c r="B14" s="58" t="s">
        <v>174</v>
      </c>
      <c r="C14" s="172" t="s">
        <v>114</v>
      </c>
      <c r="D14" s="173" t="s">
        <v>175</v>
      </c>
      <c r="E14" s="173" t="s">
        <v>176</v>
      </c>
      <c r="F14" s="173" t="s">
        <v>177</v>
      </c>
      <c r="H14" s="99" t="s">
        <v>186</v>
      </c>
      <c r="L14" s="168"/>
      <c r="M14" s="136" t="s">
        <v>180</v>
      </c>
      <c r="N14" s="136">
        <v>11</v>
      </c>
      <c r="O14" s="171"/>
    </row>
    <row r="15" spans="1:15" x14ac:dyDescent="0.25">
      <c r="A15" s="58" t="s">
        <v>172</v>
      </c>
      <c r="B15" s="58" t="s">
        <v>173</v>
      </c>
      <c r="C15" s="172"/>
      <c r="D15" s="173"/>
      <c r="E15" s="173"/>
      <c r="F15" s="173"/>
      <c r="H15" s="99" t="s">
        <v>187</v>
      </c>
      <c r="L15" s="133"/>
    </row>
    <row r="16" spans="1:15" x14ac:dyDescent="0.25">
      <c r="A16" s="129">
        <v>1</v>
      </c>
      <c r="B16" s="129">
        <v>0</v>
      </c>
      <c r="C16" s="41" t="s">
        <v>178</v>
      </c>
      <c r="D16" s="131">
        <f>H16</f>
        <v>12.608142493638798</v>
      </c>
      <c r="E16" s="41">
        <v>6</v>
      </c>
      <c r="F16" s="131">
        <f>D16*E16</f>
        <v>75.648854961832797</v>
      </c>
      <c r="H16" s="132">
        <v>12.608142493638798</v>
      </c>
      <c r="L16" s="133"/>
    </row>
    <row r="17" spans="1:8" x14ac:dyDescent="0.25">
      <c r="A17" s="129">
        <v>1.5</v>
      </c>
      <c r="B17" s="129">
        <v>0</v>
      </c>
      <c r="C17" s="41" t="s">
        <v>179</v>
      </c>
      <c r="D17" s="131">
        <f>$H$3*A17+B17</f>
        <v>226.94656488549617</v>
      </c>
      <c r="E17" s="41">
        <v>9</v>
      </c>
      <c r="F17" s="131">
        <f t="shared" ref="F17:F23" si="2">D17*E17</f>
        <v>2042.5190839694656</v>
      </c>
    </row>
    <row r="18" spans="1:8" x14ac:dyDescent="0.25">
      <c r="A18" s="129">
        <v>3</v>
      </c>
      <c r="B18" s="129">
        <v>0</v>
      </c>
      <c r="C18" s="41" t="s">
        <v>180</v>
      </c>
      <c r="D18" s="131">
        <f t="shared" ref="D18:D23" si="3">$H$3*A18+B18</f>
        <v>453.89312977099235</v>
      </c>
      <c r="E18" s="41">
        <v>11</v>
      </c>
      <c r="F18" s="131">
        <f t="shared" si="2"/>
        <v>4992.8244274809158</v>
      </c>
    </row>
    <row r="19" spans="1:8" x14ac:dyDescent="0.25">
      <c r="A19" s="129">
        <v>3</v>
      </c>
      <c r="B19" s="129">
        <v>30</v>
      </c>
      <c r="C19" s="41" t="s">
        <v>182</v>
      </c>
      <c r="D19" s="131">
        <f t="shared" si="3"/>
        <v>483.89312977099235</v>
      </c>
      <c r="E19" s="41">
        <v>1</v>
      </c>
      <c r="F19" s="131">
        <f t="shared" si="2"/>
        <v>483.89312977099235</v>
      </c>
    </row>
    <row r="20" spans="1:8" x14ac:dyDescent="0.25">
      <c r="A20" s="129">
        <v>2</v>
      </c>
      <c r="B20" s="129">
        <v>0</v>
      </c>
      <c r="C20" s="130" t="s">
        <v>183</v>
      </c>
      <c r="D20" s="131">
        <f t="shared" si="3"/>
        <v>302.59541984732823</v>
      </c>
      <c r="E20" s="41">
        <v>3</v>
      </c>
      <c r="F20" s="131">
        <f t="shared" si="2"/>
        <v>907.78625954198469</v>
      </c>
    </row>
    <row r="21" spans="1:8" x14ac:dyDescent="0.25">
      <c r="A21" s="129">
        <v>1.5</v>
      </c>
      <c r="B21" s="129">
        <v>40</v>
      </c>
      <c r="C21" s="130" t="s">
        <v>181</v>
      </c>
      <c r="D21" s="131">
        <f t="shared" si="3"/>
        <v>266.94656488549617</v>
      </c>
      <c r="E21" s="41">
        <v>1</v>
      </c>
      <c r="F21" s="131">
        <f t="shared" si="2"/>
        <v>266.94656488549617</v>
      </c>
    </row>
    <row r="22" spans="1:8" x14ac:dyDescent="0.25">
      <c r="A22" s="129">
        <v>4</v>
      </c>
      <c r="B22" s="129">
        <v>0</v>
      </c>
      <c r="C22" s="130" t="s">
        <v>184</v>
      </c>
      <c r="D22" s="131">
        <f t="shared" si="3"/>
        <v>605.19083969465646</v>
      </c>
      <c r="E22" s="41">
        <v>1</v>
      </c>
      <c r="F22" s="131">
        <f t="shared" si="2"/>
        <v>605.19083969465646</v>
      </c>
    </row>
    <row r="23" spans="1:8" x14ac:dyDescent="0.25">
      <c r="A23" s="129">
        <v>4</v>
      </c>
      <c r="B23" s="129">
        <v>20</v>
      </c>
      <c r="C23" s="130" t="s">
        <v>185</v>
      </c>
      <c r="D23" s="131">
        <f t="shared" si="3"/>
        <v>625.19083969465646</v>
      </c>
      <c r="E23" s="41">
        <v>1</v>
      </c>
      <c r="F23" s="131">
        <f t="shared" si="2"/>
        <v>625.19083969465646</v>
      </c>
    </row>
    <row r="24" spans="1:8" x14ac:dyDescent="0.25">
      <c r="A24" s="128"/>
      <c r="B24" s="128"/>
      <c r="D24" s="57"/>
    </row>
    <row r="25" spans="1:8" x14ac:dyDescent="0.25">
      <c r="C25" s="99" t="s">
        <v>188</v>
      </c>
      <c r="D25" s="57">
        <f>SUM(D16:D23)</f>
        <v>2977.2646310432569</v>
      </c>
      <c r="F25" s="57">
        <f>SUM(F16:F23)</f>
        <v>10000</v>
      </c>
    </row>
    <row r="27" spans="1:8" x14ac:dyDescent="0.25">
      <c r="A27" s="58" t="s">
        <v>174</v>
      </c>
      <c r="B27" s="58" t="s">
        <v>174</v>
      </c>
      <c r="C27" s="172" t="s">
        <v>114</v>
      </c>
      <c r="D27" s="173" t="s">
        <v>175</v>
      </c>
      <c r="E27" s="173" t="s">
        <v>176</v>
      </c>
      <c r="F27" s="173" t="s">
        <v>177</v>
      </c>
      <c r="H27" s="99" t="s">
        <v>186</v>
      </c>
    </row>
    <row r="28" spans="1:8" x14ac:dyDescent="0.25">
      <c r="A28" s="58" t="s">
        <v>172</v>
      </c>
      <c r="B28" s="58" t="s">
        <v>173</v>
      </c>
      <c r="C28" s="172"/>
      <c r="D28" s="173"/>
      <c r="E28" s="173"/>
      <c r="F28" s="173"/>
      <c r="H28" s="99" t="s">
        <v>187</v>
      </c>
    </row>
    <row r="29" spans="1:8" x14ac:dyDescent="0.25">
      <c r="A29" s="129">
        <v>1</v>
      </c>
      <c r="B29" s="129">
        <v>0</v>
      </c>
      <c r="C29" s="41" t="s">
        <v>178</v>
      </c>
      <c r="D29" s="131">
        <f>H29</f>
        <v>-86.455834242093786</v>
      </c>
      <c r="E29" s="41">
        <v>7</v>
      </c>
      <c r="F29" s="131">
        <f>D29*E29</f>
        <v>-605.19083969465646</v>
      </c>
      <c r="H29" s="132">
        <v>-86.455834242093786</v>
      </c>
    </row>
    <row r="30" spans="1:8" x14ac:dyDescent="0.25">
      <c r="A30" s="129">
        <v>1.5</v>
      </c>
      <c r="B30" s="129">
        <v>0</v>
      </c>
      <c r="C30" s="41" t="s">
        <v>179</v>
      </c>
      <c r="D30" s="131">
        <f>$H$3*A30+B30</f>
        <v>226.94656488549617</v>
      </c>
      <c r="E30" s="41">
        <v>10</v>
      </c>
      <c r="F30" s="131">
        <f t="shared" ref="F30:F36" si="4">D30*E30</f>
        <v>2269.4656488549617</v>
      </c>
    </row>
    <row r="31" spans="1:8" x14ac:dyDescent="0.25">
      <c r="A31" s="129">
        <v>3</v>
      </c>
      <c r="B31" s="129">
        <v>0</v>
      </c>
      <c r="C31" s="41" t="s">
        <v>180</v>
      </c>
      <c r="D31" s="131">
        <f t="shared" ref="D31:D36" si="5">$H$3*A31+B31</f>
        <v>453.89312977099235</v>
      </c>
      <c r="E31" s="41">
        <v>12</v>
      </c>
      <c r="F31" s="131">
        <f t="shared" si="4"/>
        <v>5446.7175572519081</v>
      </c>
    </row>
    <row r="32" spans="1:8" x14ac:dyDescent="0.25">
      <c r="A32" s="129">
        <v>3</v>
      </c>
      <c r="B32" s="129">
        <v>30</v>
      </c>
      <c r="C32" s="41" t="s">
        <v>182</v>
      </c>
      <c r="D32" s="131">
        <f t="shared" si="5"/>
        <v>483.89312977099235</v>
      </c>
      <c r="E32" s="41">
        <v>1</v>
      </c>
      <c r="F32" s="131">
        <f t="shared" si="4"/>
        <v>483.89312977099235</v>
      </c>
    </row>
    <row r="33" spans="1:8" x14ac:dyDescent="0.25">
      <c r="A33" s="129">
        <v>2</v>
      </c>
      <c r="B33" s="129">
        <v>0</v>
      </c>
      <c r="C33" s="130" t="s">
        <v>183</v>
      </c>
      <c r="D33" s="131">
        <f t="shared" si="5"/>
        <v>302.59541984732823</v>
      </c>
      <c r="E33" s="41">
        <v>3</v>
      </c>
      <c r="F33" s="131">
        <f t="shared" si="4"/>
        <v>907.78625954198469</v>
      </c>
    </row>
    <row r="34" spans="1:8" x14ac:dyDescent="0.25">
      <c r="A34" s="129">
        <v>1.5</v>
      </c>
      <c r="B34" s="129">
        <v>40</v>
      </c>
      <c r="C34" s="130" t="s">
        <v>181</v>
      </c>
      <c r="D34" s="131">
        <f t="shared" si="5"/>
        <v>266.94656488549617</v>
      </c>
      <c r="E34" s="41">
        <v>1</v>
      </c>
      <c r="F34" s="131">
        <f t="shared" si="4"/>
        <v>266.94656488549617</v>
      </c>
    </row>
    <row r="35" spans="1:8" x14ac:dyDescent="0.25">
      <c r="A35" s="129">
        <v>4</v>
      </c>
      <c r="B35" s="129">
        <v>0</v>
      </c>
      <c r="C35" s="130" t="s">
        <v>184</v>
      </c>
      <c r="D35" s="131">
        <f t="shared" si="5"/>
        <v>605.19083969465646</v>
      </c>
      <c r="E35" s="41">
        <v>1</v>
      </c>
      <c r="F35" s="131">
        <f t="shared" si="4"/>
        <v>605.19083969465646</v>
      </c>
    </row>
    <row r="36" spans="1:8" x14ac:dyDescent="0.25">
      <c r="A36" s="129">
        <v>4</v>
      </c>
      <c r="B36" s="129">
        <v>20</v>
      </c>
      <c r="C36" s="130" t="s">
        <v>185</v>
      </c>
      <c r="D36" s="131">
        <f t="shared" si="5"/>
        <v>625.19083969465646</v>
      </c>
      <c r="E36" s="41">
        <v>1</v>
      </c>
      <c r="F36" s="131">
        <f t="shared" si="4"/>
        <v>625.19083969465646</v>
      </c>
    </row>
    <row r="37" spans="1:8" x14ac:dyDescent="0.25">
      <c r="A37" s="128"/>
      <c r="B37" s="128"/>
      <c r="D37" s="57"/>
    </row>
    <row r="38" spans="1:8" x14ac:dyDescent="0.25">
      <c r="C38" s="99" t="s">
        <v>188</v>
      </c>
      <c r="D38" s="57">
        <f>SUM(D29:D36)</f>
        <v>2878.2006543075245</v>
      </c>
      <c r="F38" s="57">
        <f>SUM(F29:F36)</f>
        <v>10000</v>
      </c>
    </row>
    <row r="40" spans="1:8" x14ac:dyDescent="0.25">
      <c r="A40" s="58" t="s">
        <v>174</v>
      </c>
      <c r="B40" s="58" t="s">
        <v>174</v>
      </c>
      <c r="C40" s="172" t="s">
        <v>114</v>
      </c>
      <c r="D40" s="173" t="s">
        <v>175</v>
      </c>
      <c r="E40" s="173" t="s">
        <v>176</v>
      </c>
      <c r="F40" s="173" t="s">
        <v>177</v>
      </c>
      <c r="H40" s="99" t="s">
        <v>186</v>
      </c>
    </row>
    <row r="41" spans="1:8" x14ac:dyDescent="0.25">
      <c r="A41" s="58" t="s">
        <v>172</v>
      </c>
      <c r="B41" s="58" t="s">
        <v>173</v>
      </c>
      <c r="C41" s="172"/>
      <c r="D41" s="173"/>
      <c r="E41" s="173"/>
      <c r="F41" s="173"/>
      <c r="H41" s="99" t="s">
        <v>187</v>
      </c>
    </row>
    <row r="42" spans="1:8" x14ac:dyDescent="0.25">
      <c r="A42" s="129">
        <v>1</v>
      </c>
      <c r="B42" s="129">
        <v>0</v>
      </c>
      <c r="C42" s="41" t="s">
        <v>178</v>
      </c>
      <c r="D42" s="131">
        <f>H42</f>
        <v>-21.613958560523393</v>
      </c>
      <c r="E42" s="41">
        <v>7</v>
      </c>
      <c r="F42" s="131">
        <f>D42*E42</f>
        <v>-151.29770992366375</v>
      </c>
      <c r="H42" s="132">
        <v>-21.613958560523393</v>
      </c>
    </row>
    <row r="43" spans="1:8" x14ac:dyDescent="0.25">
      <c r="A43" s="129">
        <v>1.5</v>
      </c>
      <c r="B43" s="129">
        <v>0</v>
      </c>
      <c r="C43" s="41" t="s">
        <v>179</v>
      </c>
      <c r="D43" s="131">
        <f>$H$3*A43+B43</f>
        <v>226.94656488549617</v>
      </c>
      <c r="E43" s="41">
        <v>10</v>
      </c>
      <c r="F43" s="131">
        <f t="shared" ref="F43:F49" si="6">D43*E43</f>
        <v>2269.4656488549617</v>
      </c>
    </row>
    <row r="44" spans="1:8" x14ac:dyDescent="0.25">
      <c r="A44" s="129">
        <v>3</v>
      </c>
      <c r="B44" s="129">
        <v>0</v>
      </c>
      <c r="C44" s="41" t="s">
        <v>180</v>
      </c>
      <c r="D44" s="131">
        <f t="shared" ref="D44:D49" si="7">$H$3*A44+B44</f>
        <v>453.89312977099235</v>
      </c>
      <c r="E44" s="41">
        <v>11</v>
      </c>
      <c r="F44" s="131">
        <f t="shared" si="6"/>
        <v>4992.8244274809158</v>
      </c>
    </row>
    <row r="45" spans="1:8" x14ac:dyDescent="0.25">
      <c r="A45" s="129">
        <v>3</v>
      </c>
      <c r="B45" s="129">
        <v>30</v>
      </c>
      <c r="C45" s="41" t="s">
        <v>182</v>
      </c>
      <c r="D45" s="131">
        <f t="shared" si="7"/>
        <v>483.89312977099235</v>
      </c>
      <c r="E45" s="41">
        <v>1</v>
      </c>
      <c r="F45" s="131">
        <f t="shared" si="6"/>
        <v>483.89312977099235</v>
      </c>
    </row>
    <row r="46" spans="1:8" x14ac:dyDescent="0.25">
      <c r="A46" s="129">
        <v>2</v>
      </c>
      <c r="B46" s="129">
        <v>0</v>
      </c>
      <c r="C46" s="130" t="s">
        <v>183</v>
      </c>
      <c r="D46" s="131">
        <f t="shared" si="7"/>
        <v>302.59541984732823</v>
      </c>
      <c r="E46" s="41">
        <v>3</v>
      </c>
      <c r="F46" s="131">
        <f t="shared" si="6"/>
        <v>907.78625954198469</v>
      </c>
    </row>
    <row r="47" spans="1:8" x14ac:dyDescent="0.25">
      <c r="A47" s="129">
        <v>1.5</v>
      </c>
      <c r="B47" s="129">
        <v>40</v>
      </c>
      <c r="C47" s="130" t="s">
        <v>181</v>
      </c>
      <c r="D47" s="131">
        <f t="shared" si="7"/>
        <v>266.94656488549617</v>
      </c>
      <c r="E47" s="41">
        <v>1</v>
      </c>
      <c r="F47" s="131">
        <f t="shared" si="6"/>
        <v>266.94656488549617</v>
      </c>
    </row>
    <row r="48" spans="1:8" x14ac:dyDescent="0.25">
      <c r="A48" s="129">
        <v>4</v>
      </c>
      <c r="B48" s="129">
        <v>0</v>
      </c>
      <c r="C48" s="130" t="s">
        <v>184</v>
      </c>
      <c r="D48" s="131">
        <f t="shared" si="7"/>
        <v>605.19083969465646</v>
      </c>
      <c r="E48" s="41">
        <v>1</v>
      </c>
      <c r="F48" s="131">
        <f t="shared" si="6"/>
        <v>605.19083969465646</v>
      </c>
    </row>
    <row r="49" spans="1:6" x14ac:dyDescent="0.25">
      <c r="A49" s="129">
        <v>4</v>
      </c>
      <c r="B49" s="129">
        <v>20</v>
      </c>
      <c r="C49" s="130" t="s">
        <v>185</v>
      </c>
      <c r="D49" s="131">
        <f t="shared" si="7"/>
        <v>625.19083969465646</v>
      </c>
      <c r="E49" s="41">
        <v>1</v>
      </c>
      <c r="F49" s="131">
        <f t="shared" si="6"/>
        <v>625.19083969465646</v>
      </c>
    </row>
    <row r="50" spans="1:6" x14ac:dyDescent="0.25">
      <c r="A50" s="128"/>
      <c r="B50" s="128"/>
      <c r="D50" s="57"/>
    </row>
    <row r="51" spans="1:6" x14ac:dyDescent="0.25">
      <c r="C51" s="99" t="s">
        <v>188</v>
      </c>
      <c r="D51" s="57">
        <f>SUM(D42:D49)</f>
        <v>2943.0425299890949</v>
      </c>
      <c r="F51" s="57">
        <f>SUM(F42:F49)</f>
        <v>10000</v>
      </c>
    </row>
  </sheetData>
  <mergeCells count="25">
    <mergeCell ref="C27:C28"/>
    <mergeCell ref="D27:D28"/>
    <mergeCell ref="E27:E28"/>
    <mergeCell ref="F27:F28"/>
    <mergeCell ref="C40:C41"/>
    <mergeCell ref="D40:D41"/>
    <mergeCell ref="E40:E41"/>
    <mergeCell ref="F40:F41"/>
    <mergeCell ref="C1:C2"/>
    <mergeCell ref="F1:F2"/>
    <mergeCell ref="E1:E2"/>
    <mergeCell ref="D1:D2"/>
    <mergeCell ref="C14:C15"/>
    <mergeCell ref="D14:D15"/>
    <mergeCell ref="E14:E15"/>
    <mergeCell ref="F14:F15"/>
    <mergeCell ref="L1:O1"/>
    <mergeCell ref="L3:L5"/>
    <mergeCell ref="L6:L8"/>
    <mergeCell ref="L9:L11"/>
    <mergeCell ref="L12:L14"/>
    <mergeCell ref="O3:O5"/>
    <mergeCell ref="O6:O8"/>
    <mergeCell ref="O9:O11"/>
    <mergeCell ref="O12:O14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18</vt:i4>
      </vt:variant>
    </vt:vector>
  </HeadingPairs>
  <TitlesOfParts>
    <vt:vector size="18" baseType="lpstr">
      <vt:lpstr>Лист1</vt:lpstr>
      <vt:lpstr>Лист6</vt:lpstr>
      <vt:lpstr>Расчёт цен</vt:lpstr>
      <vt:lpstr>Числа</vt:lpstr>
      <vt:lpstr>Налог с продаж</vt:lpstr>
      <vt:lpstr>Банк</vt:lpstr>
      <vt:lpstr>Диаграма</vt:lpstr>
      <vt:lpstr>Диаграмма</vt:lpstr>
      <vt:lpstr>График</vt:lpstr>
      <vt:lpstr>Изменение биоритмов человека</vt:lpstr>
      <vt:lpstr>Ну и погода</vt:lpstr>
      <vt:lpstr>Магазин</vt:lpstr>
      <vt:lpstr>Зарплата</vt:lpstr>
      <vt:lpstr>Сортировка</vt:lpstr>
      <vt:lpstr>Склад</vt:lpstr>
      <vt:lpstr>Сортировка2</vt:lpstr>
      <vt:lpstr>Поиск</vt:lpstr>
      <vt:lpstr>Больница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2026-06-01T06:58:28Z</dcterms:modified>
</cp:coreProperties>
</file>